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S INDUSTRIES\Desktop\ALL RECORD MONTH OF JUNE_2026\"/>
    </mc:Choice>
  </mc:AlternateContent>
  <bookViews>
    <workbookView xWindow="0" yWindow="0" windowWidth="20490" windowHeight="7635" firstSheet="19" activeTab="19"/>
  </bookViews>
  <sheets>
    <sheet name="RM STOCK JUN-25" sheetId="1" state="hidden" r:id="rId1"/>
    <sheet name="MB STOCK JUN-25" sheetId="3" state="hidden" r:id="rId2"/>
    <sheet name="RM STOCK JUL-25" sheetId="6" state="hidden" r:id="rId3"/>
    <sheet name="RM STOCK AUG- 25" sheetId="8" state="hidden" r:id="rId4"/>
    <sheet name="MB STOCK AUG -25" sheetId="7" state="hidden" r:id="rId5"/>
    <sheet name="RM STOCK SEP - 25" sheetId="9" state="hidden" r:id="rId6"/>
    <sheet name="MB STOCK SEP -25" sheetId="10" state="hidden" r:id="rId7"/>
    <sheet name="RM STOCK OCT - 25" sheetId="11" state="hidden" r:id="rId8"/>
    <sheet name="MB STOCK OCT -25" sheetId="12" state="hidden" r:id="rId9"/>
    <sheet name="RM STOCK NOV - 25" sheetId="13" state="hidden" r:id="rId10"/>
    <sheet name="MB STOCK NOV -25" sheetId="14" state="hidden" r:id="rId11"/>
    <sheet name="RM STOCK DEC - 25" sheetId="15" state="hidden" r:id="rId12"/>
    <sheet name="MB STOCK DEC - 25" sheetId="16" state="hidden" r:id="rId13"/>
    <sheet name="RM STOCK JAN - 26" sheetId="17" state="hidden" r:id="rId14"/>
    <sheet name="MB STOCK JAN - 26" sheetId="18" state="hidden" r:id="rId15"/>
    <sheet name="RM STOCK FEB - 26" sheetId="19" state="hidden" r:id="rId16"/>
    <sheet name="MB STOCK FEB - 26" sheetId="20" state="hidden" r:id="rId17"/>
    <sheet name="Sheet1" sheetId="23" state="hidden" r:id="rId18"/>
    <sheet name="RM STOCK 25 FEB - 26 AS PR PHY" sheetId="22" state="hidden" r:id="rId19"/>
    <sheet name="RM STOCK JUNE - 26" sheetId="25" r:id="rId20"/>
    <sheet name="MB STOCK JUNE - 26" sheetId="26" r:id="rId21"/>
    <sheet name="CUTTING STOCK JUNE-2026" sheetId="27" r:id="rId22"/>
    <sheet name="CUTTING R.M JUNE-2026" sheetId="28" r:id="rId23"/>
    <sheet name="RM CON SHEET" sheetId="4" r:id="rId24"/>
    <sheet name="RM CON (A&amp;B) SHIFT JUN-25 " sheetId="5" state="hidden" r:id="rId25"/>
  </sheets>
  <calcPr calcId="152511"/>
</workbook>
</file>

<file path=xl/calcChain.xml><?xml version="1.0" encoding="utf-8"?>
<calcChain xmlns="http://schemas.openxmlformats.org/spreadsheetml/2006/main">
  <c r="D25" i="27" l="1"/>
  <c r="AQ4" i="27"/>
  <c r="AQ5" i="27"/>
  <c r="AQ6" i="27"/>
  <c r="AQ7" i="27"/>
  <c r="C7" i="27" s="1"/>
  <c r="AQ8" i="27"/>
  <c r="AQ9" i="27"/>
  <c r="AQ10" i="27"/>
  <c r="AQ11" i="27"/>
  <c r="C11" i="27" s="1"/>
  <c r="AQ12" i="27"/>
  <c r="AQ13" i="27"/>
  <c r="C13" i="27" s="1"/>
  <c r="AQ14" i="27"/>
  <c r="C14" i="27" s="1"/>
  <c r="AQ15" i="27"/>
  <c r="C15" i="27" s="1"/>
  <c r="AQ16" i="27"/>
  <c r="AQ17" i="27"/>
  <c r="AQ18" i="27"/>
  <c r="C18" i="27" s="1"/>
  <c r="AQ19" i="27"/>
  <c r="C19" i="27" s="1"/>
  <c r="AQ20" i="27"/>
  <c r="AQ21" i="27"/>
  <c r="AQ22" i="27"/>
  <c r="C22" i="27" s="1"/>
  <c r="AQ23" i="27"/>
  <c r="C23" i="27" s="1"/>
  <c r="AQ24" i="27"/>
  <c r="C24" i="27" s="1"/>
  <c r="C4" i="27"/>
  <c r="C5" i="27"/>
  <c r="C6" i="27"/>
  <c r="C8" i="27"/>
  <c r="C9" i="27"/>
  <c r="C10" i="27"/>
  <c r="C12" i="27"/>
  <c r="C16" i="27"/>
  <c r="C17" i="27"/>
  <c r="C20" i="27"/>
  <c r="C21" i="27"/>
  <c r="T25" i="27"/>
  <c r="AQ3" i="27"/>
  <c r="R26" i="25"/>
  <c r="S26" i="25"/>
  <c r="AP4" i="25"/>
  <c r="AP5" i="25"/>
  <c r="AP6" i="25"/>
  <c r="AP7" i="25"/>
  <c r="AP8" i="25"/>
  <c r="AP9" i="25"/>
  <c r="AP10" i="25"/>
  <c r="AP11" i="25"/>
  <c r="AP12" i="25"/>
  <c r="AP13" i="25"/>
  <c r="AP14" i="25"/>
  <c r="AP15" i="25"/>
  <c r="AP16" i="25"/>
  <c r="AP17" i="25"/>
  <c r="AP18" i="25"/>
  <c r="AP19" i="25"/>
  <c r="AP20" i="25"/>
  <c r="AP21" i="25"/>
  <c r="AP22" i="25"/>
  <c r="AP23" i="25"/>
  <c r="AP24" i="25"/>
  <c r="AP25" i="25"/>
  <c r="AP3" i="25"/>
  <c r="R25" i="27" l="1"/>
  <c r="P26" i="25" l="1"/>
  <c r="O25" i="27" l="1"/>
  <c r="AL4" i="26" l="1"/>
  <c r="AL5" i="26"/>
  <c r="AL6" i="26"/>
  <c r="AL7" i="26"/>
  <c r="AL8" i="26"/>
  <c r="AL9" i="26"/>
  <c r="AL10" i="26"/>
  <c r="AL11" i="26"/>
  <c r="AL12" i="26"/>
  <c r="AL13" i="26"/>
  <c r="AL14" i="26"/>
  <c r="AL15" i="26"/>
  <c r="AL16" i="26"/>
  <c r="AL17" i="26"/>
  <c r="AL18" i="26"/>
  <c r="AL19" i="26"/>
  <c r="AL20" i="26"/>
  <c r="AL21" i="26"/>
  <c r="AL22" i="26"/>
  <c r="AL23" i="26"/>
  <c r="AL24" i="26"/>
  <c r="AL25" i="26"/>
  <c r="AL26" i="26"/>
  <c r="AL27" i="26"/>
  <c r="AL28" i="26"/>
  <c r="AL29" i="26"/>
  <c r="AL30" i="26"/>
  <c r="AL3" i="26"/>
  <c r="M25" i="27" l="1"/>
  <c r="E8" i="25" l="1"/>
  <c r="E9" i="25"/>
  <c r="E10" i="25"/>
  <c r="E11" i="25"/>
  <c r="E12" i="25"/>
  <c r="E13" i="25"/>
  <c r="E15" i="25"/>
  <c r="E16" i="25"/>
  <c r="E17" i="25"/>
  <c r="E18" i="25"/>
  <c r="E20" i="25"/>
  <c r="E21" i="25"/>
  <c r="E22" i="25"/>
  <c r="E14" i="25"/>
  <c r="E19" i="25"/>
  <c r="E23" i="25"/>
  <c r="E24" i="25"/>
  <c r="E25" i="25"/>
  <c r="F26" i="25"/>
  <c r="L26" i="25" l="1"/>
  <c r="K25" i="27" l="1"/>
  <c r="I26" i="25" l="1"/>
  <c r="I25" i="27"/>
  <c r="G25" i="27" l="1"/>
  <c r="E25" i="27" l="1"/>
  <c r="E7" i="25" l="1"/>
  <c r="E3" i="25"/>
  <c r="H26" i="25" l="1"/>
  <c r="J26" i="25"/>
  <c r="K26" i="25"/>
  <c r="M26" i="25"/>
  <c r="N26" i="25"/>
  <c r="O26" i="25"/>
  <c r="Q26" i="25"/>
  <c r="T26" i="25"/>
  <c r="U26" i="25"/>
  <c r="V26" i="25"/>
  <c r="W26" i="25"/>
  <c r="X26" i="25"/>
  <c r="Y26" i="25"/>
  <c r="Z26" i="25"/>
  <c r="AA26" i="25"/>
  <c r="AB26" i="25"/>
  <c r="AC26" i="25"/>
  <c r="AD26" i="25"/>
  <c r="AE26" i="25"/>
  <c r="AF26" i="25"/>
  <c r="AG26" i="25"/>
  <c r="AH26" i="25"/>
  <c r="AI26" i="25"/>
  <c r="AJ26" i="25"/>
  <c r="AK26" i="25"/>
  <c r="AL26" i="25"/>
  <c r="AM26" i="25"/>
  <c r="AN26" i="25"/>
  <c r="AO26" i="25"/>
  <c r="G26" i="25"/>
  <c r="E4" i="25" l="1"/>
  <c r="E5" i="25"/>
  <c r="E6" i="25"/>
  <c r="E26" i="25" l="1"/>
  <c r="AP26" i="25"/>
  <c r="C57" i="26" l="1"/>
  <c r="C58" i="26"/>
  <c r="C59" i="26"/>
  <c r="C60" i="26"/>
  <c r="AQ25" i="27" l="1"/>
  <c r="C3" i="27" l="1"/>
  <c r="C25" i="27" l="1"/>
  <c r="C29" i="25"/>
  <c r="AG25" i="27" l="1"/>
  <c r="AF25" i="27"/>
  <c r="C56" i="26" l="1"/>
  <c r="C55" i="26"/>
  <c r="C50" i="25" l="1"/>
  <c r="C32" i="25"/>
  <c r="C33" i="25"/>
  <c r="C34" i="25"/>
  <c r="C35" i="25"/>
  <c r="C36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31" i="25"/>
  <c r="C37" i="25"/>
  <c r="C30" i="25" l="1"/>
  <c r="F25" i="27" l="1"/>
  <c r="H25" i="27"/>
  <c r="J25" i="27"/>
  <c r="L25" i="27"/>
  <c r="N25" i="27"/>
  <c r="P25" i="27"/>
  <c r="Q25" i="27"/>
  <c r="S25" i="27"/>
  <c r="U25" i="27"/>
  <c r="V25" i="27"/>
  <c r="W25" i="27"/>
  <c r="X25" i="27"/>
  <c r="Y25" i="27"/>
  <c r="Z25" i="27"/>
  <c r="AA25" i="27"/>
  <c r="AB25" i="27"/>
  <c r="AC25" i="27"/>
  <c r="AD25" i="27"/>
  <c r="AE25" i="27"/>
  <c r="AH25" i="27"/>
  <c r="AI25" i="27"/>
  <c r="AJ25" i="27"/>
  <c r="AK25" i="27"/>
  <c r="AL25" i="27"/>
  <c r="AM25" i="27"/>
  <c r="AN25" i="27"/>
  <c r="AO25" i="27"/>
  <c r="AP25" i="27"/>
  <c r="C36" i="26" l="1"/>
  <c r="C37" i="26"/>
  <c r="C34" i="26"/>
  <c r="C35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33" i="26" l="1"/>
  <c r="X4" i="22" l="1"/>
  <c r="C25" i="22" s="1"/>
  <c r="X5" i="22"/>
  <c r="C26" i="22" s="1"/>
  <c r="X6" i="22"/>
  <c r="C27" i="22" s="1"/>
  <c r="X7" i="22"/>
  <c r="C28" i="22" s="1"/>
  <c r="X8" i="22"/>
  <c r="C29" i="22" s="1"/>
  <c r="X9" i="22"/>
  <c r="X10" i="22"/>
  <c r="C31" i="22" s="1"/>
  <c r="X11" i="22"/>
  <c r="C32" i="22" s="1"/>
  <c r="X12" i="22"/>
  <c r="C33" i="22" s="1"/>
  <c r="X13" i="22"/>
  <c r="X14" i="22"/>
  <c r="C35" i="22" s="1"/>
  <c r="X15" i="22"/>
  <c r="C36" i="22" s="1"/>
  <c r="X16" i="22"/>
  <c r="C37" i="22" s="1"/>
  <c r="X17" i="22"/>
  <c r="X18" i="22"/>
  <c r="C39" i="22" s="1"/>
  <c r="X19" i="22"/>
  <c r="C40" i="22" s="1"/>
  <c r="X20" i="22"/>
  <c r="C41" i="22" s="1"/>
  <c r="X3" i="22"/>
  <c r="C24" i="22" s="1"/>
  <c r="W21" i="22"/>
  <c r="U21" i="22"/>
  <c r="R21" i="22"/>
  <c r="O21" i="22"/>
  <c r="N21" i="22"/>
  <c r="M21" i="22"/>
  <c r="L21" i="22"/>
  <c r="J21" i="22"/>
  <c r="I21" i="22"/>
  <c r="F21" i="22"/>
  <c r="E21" i="22"/>
  <c r="C38" i="22"/>
  <c r="C34" i="22"/>
  <c r="C30" i="22"/>
  <c r="AL19" i="19" l="1"/>
  <c r="C40" i="19" s="1"/>
  <c r="AL4" i="19"/>
  <c r="AL5" i="19"/>
  <c r="AL6" i="19"/>
  <c r="AL7" i="19"/>
  <c r="AL8" i="19"/>
  <c r="AL9" i="19"/>
  <c r="AL10" i="19"/>
  <c r="AL11" i="19"/>
  <c r="AL12" i="19"/>
  <c r="AL13" i="19"/>
  <c r="AL14" i="19"/>
  <c r="AL15" i="19"/>
  <c r="AL16" i="19"/>
  <c r="AL17" i="19"/>
  <c r="AL18" i="19"/>
  <c r="AL20" i="19"/>
  <c r="C41" i="19" s="1"/>
  <c r="AL3" i="19"/>
  <c r="AI4" i="20" l="1"/>
  <c r="AI5" i="20"/>
  <c r="AI6" i="20"/>
  <c r="AI7" i="20"/>
  <c r="AI8" i="20"/>
  <c r="AI9" i="20"/>
  <c r="AI10" i="20"/>
  <c r="AI11" i="20"/>
  <c r="AI12" i="20"/>
  <c r="AI13" i="20"/>
  <c r="AI14" i="20"/>
  <c r="AI15" i="20"/>
  <c r="AI16" i="20"/>
  <c r="AI17" i="20"/>
  <c r="AI18" i="20"/>
  <c r="AI19" i="20"/>
  <c r="AI20" i="20"/>
  <c r="AI21" i="20"/>
  <c r="AI22" i="20"/>
  <c r="AI23" i="20"/>
  <c r="AI24" i="20"/>
  <c r="AI3" i="20"/>
  <c r="C29" i="20" l="1"/>
  <c r="C30" i="20"/>
  <c r="C31" i="20"/>
  <c r="C34" i="20"/>
  <c r="C35" i="20"/>
  <c r="C38" i="20"/>
  <c r="C39" i="20"/>
  <c r="C42" i="20"/>
  <c r="C43" i="20"/>
  <c r="C45" i="20"/>
  <c r="C46" i="20"/>
  <c r="C47" i="20"/>
  <c r="C27" i="20"/>
  <c r="C28" i="20"/>
  <c r="C48" i="20"/>
  <c r="C44" i="20"/>
  <c r="C41" i="20"/>
  <c r="C40" i="20"/>
  <c r="C37" i="20"/>
  <c r="C36" i="20"/>
  <c r="C33" i="20"/>
  <c r="C32" i="20"/>
  <c r="C26" i="19"/>
  <c r="C27" i="19"/>
  <c r="C28" i="19"/>
  <c r="C32" i="19"/>
  <c r="C36" i="19"/>
  <c r="C39" i="19"/>
  <c r="C24" i="19"/>
  <c r="AK21" i="19"/>
  <c r="AI21" i="19"/>
  <c r="AF21" i="19"/>
  <c r="AC21" i="19"/>
  <c r="AB21" i="19"/>
  <c r="AA21" i="19"/>
  <c r="Z21" i="19"/>
  <c r="X21" i="19"/>
  <c r="W21" i="19"/>
  <c r="U21" i="19"/>
  <c r="T21" i="19"/>
  <c r="S21" i="19"/>
  <c r="R21" i="19"/>
  <c r="P21" i="19"/>
  <c r="N21" i="19"/>
  <c r="L21" i="19"/>
  <c r="J21" i="19"/>
  <c r="I21" i="19"/>
  <c r="F21" i="19"/>
  <c r="E21" i="19"/>
  <c r="C38" i="19"/>
  <c r="C37" i="19"/>
  <c r="C35" i="19"/>
  <c r="C34" i="19"/>
  <c r="C33" i="19"/>
  <c r="C31" i="19"/>
  <c r="C30" i="19"/>
  <c r="C29" i="19"/>
  <c r="C25" i="19"/>
  <c r="AR4" i="17" l="1"/>
  <c r="AR5" i="17"/>
  <c r="AR6" i="17"/>
  <c r="AR7" i="17"/>
  <c r="AR8" i="17"/>
  <c r="AR9" i="17"/>
  <c r="AR10" i="17"/>
  <c r="AR11" i="17"/>
  <c r="AR12" i="17"/>
  <c r="AR13" i="17"/>
  <c r="AR14" i="17"/>
  <c r="AR15" i="17"/>
  <c r="AR16" i="17"/>
  <c r="AR17" i="17"/>
  <c r="AR18" i="17"/>
  <c r="AR19" i="17"/>
  <c r="AR3" i="17"/>
  <c r="C39" i="17" l="1"/>
  <c r="AL4" i="18" l="1"/>
  <c r="AL5" i="18"/>
  <c r="AL6" i="18"/>
  <c r="AL7" i="18"/>
  <c r="AL8" i="18"/>
  <c r="AL9" i="18"/>
  <c r="AL10" i="18"/>
  <c r="AL11" i="18"/>
  <c r="AL12" i="18"/>
  <c r="AL13" i="18"/>
  <c r="AL14" i="18"/>
  <c r="AL15" i="18"/>
  <c r="AL16" i="18"/>
  <c r="AL17" i="18"/>
  <c r="AL18" i="18"/>
  <c r="AL19" i="18"/>
  <c r="AL20" i="18"/>
  <c r="AL21" i="18"/>
  <c r="AL22" i="18"/>
  <c r="AL23" i="18"/>
  <c r="AL24" i="18"/>
  <c r="AL3" i="18"/>
  <c r="J20" i="17" l="1"/>
  <c r="C28" i="18" l="1"/>
  <c r="C29" i="18"/>
  <c r="C33" i="18"/>
  <c r="C37" i="18"/>
  <c r="C41" i="18"/>
  <c r="C45" i="18"/>
  <c r="C46" i="18"/>
  <c r="C47" i="18"/>
  <c r="C27" i="18"/>
  <c r="C48" i="18"/>
  <c r="C44" i="18"/>
  <c r="C43" i="18"/>
  <c r="C42" i="18"/>
  <c r="C40" i="18"/>
  <c r="C39" i="18"/>
  <c r="C38" i="18"/>
  <c r="C36" i="18"/>
  <c r="C35" i="18"/>
  <c r="C34" i="18"/>
  <c r="C32" i="18"/>
  <c r="C31" i="18"/>
  <c r="C30" i="18"/>
  <c r="C36" i="17"/>
  <c r="C32" i="17"/>
  <c r="C28" i="17"/>
  <c r="C24" i="17"/>
  <c r="C23" i="17"/>
  <c r="C25" i="17"/>
  <c r="C26" i="17"/>
  <c r="C27" i="17"/>
  <c r="C30" i="17"/>
  <c r="C31" i="17"/>
  <c r="C33" i="17"/>
  <c r="C35" i="17"/>
  <c r="C37" i="17"/>
  <c r="C38" i="17"/>
  <c r="AM20" i="17"/>
  <c r="AL20" i="17"/>
  <c r="AI20" i="17"/>
  <c r="AH20" i="17"/>
  <c r="AG20" i="17"/>
  <c r="AE20" i="17"/>
  <c r="AB20" i="17"/>
  <c r="Y20" i="17"/>
  <c r="X20" i="17"/>
  <c r="W20" i="17"/>
  <c r="V20" i="17"/>
  <c r="T20" i="17"/>
  <c r="S20" i="17"/>
  <c r="Q20" i="17"/>
  <c r="P20" i="17"/>
  <c r="O20" i="17"/>
  <c r="N20" i="17"/>
  <c r="L20" i="17"/>
  <c r="K20" i="17"/>
  <c r="I20" i="17"/>
  <c r="H20" i="17"/>
  <c r="F20" i="17"/>
  <c r="E20" i="17"/>
  <c r="C34" i="17"/>
  <c r="C29" i="17"/>
  <c r="AM4" i="16" l="1"/>
  <c r="AM5" i="16"/>
  <c r="AM6" i="16"/>
  <c r="AM7" i="16"/>
  <c r="AM8" i="16"/>
  <c r="AM9" i="16"/>
  <c r="AM10" i="16"/>
  <c r="AM11" i="16"/>
  <c r="AM12" i="16"/>
  <c r="AM13" i="16"/>
  <c r="AM14" i="16"/>
  <c r="AM15" i="16"/>
  <c r="AM16" i="16"/>
  <c r="AM17" i="16"/>
  <c r="AM18" i="16"/>
  <c r="AM19" i="16"/>
  <c r="AM20" i="16"/>
  <c r="AM21" i="16"/>
  <c r="AM22" i="16"/>
  <c r="AM23" i="16"/>
  <c r="AM24" i="16"/>
  <c r="AM3" i="16"/>
  <c r="AP4" i="15" l="1"/>
  <c r="AP5" i="15"/>
  <c r="AP6" i="15"/>
  <c r="AP7" i="15"/>
  <c r="AP8" i="15"/>
  <c r="AP9" i="15"/>
  <c r="AP10" i="15"/>
  <c r="AP11" i="15"/>
  <c r="AP12" i="15"/>
  <c r="AP13" i="15"/>
  <c r="AP14" i="15"/>
  <c r="AP15" i="15"/>
  <c r="AP16" i="15"/>
  <c r="AP17" i="15"/>
  <c r="AP18" i="15"/>
  <c r="AP19" i="15"/>
  <c r="AP3" i="15"/>
  <c r="C48" i="16" l="1"/>
  <c r="C47" i="16" l="1"/>
  <c r="C46" i="16"/>
  <c r="C30" i="16" l="1"/>
  <c r="C33" i="16"/>
  <c r="C34" i="16"/>
  <c r="C37" i="16"/>
  <c r="C38" i="16"/>
  <c r="C42" i="16"/>
  <c r="C43" i="16"/>
  <c r="C45" i="16"/>
  <c r="C27" i="16"/>
  <c r="C44" i="16"/>
  <c r="C41" i="16"/>
  <c r="C40" i="16"/>
  <c r="C39" i="16"/>
  <c r="C36" i="16"/>
  <c r="C35" i="16"/>
  <c r="C32" i="16"/>
  <c r="C31" i="16"/>
  <c r="C29" i="16"/>
  <c r="C28" i="16"/>
  <c r="C26" i="15"/>
  <c r="C27" i="15"/>
  <c r="C29" i="15"/>
  <c r="C31" i="15"/>
  <c r="C34" i="15"/>
  <c r="C35" i="15"/>
  <c r="C38" i="15"/>
  <c r="C23" i="15"/>
  <c r="AO20" i="15"/>
  <c r="AM20" i="15"/>
  <c r="AK20" i="15"/>
  <c r="AH20" i="15"/>
  <c r="AG20" i="15"/>
  <c r="AE20" i="15"/>
  <c r="AD20" i="15"/>
  <c r="AC20" i="15"/>
  <c r="AA20" i="15"/>
  <c r="Y20" i="15"/>
  <c r="W20" i="15"/>
  <c r="V20" i="15"/>
  <c r="U20" i="15"/>
  <c r="T20" i="15"/>
  <c r="S20" i="15"/>
  <c r="R20" i="15"/>
  <c r="P20" i="15"/>
  <c r="O20" i="15"/>
  <c r="N20" i="15"/>
  <c r="M20" i="15"/>
  <c r="L20" i="15"/>
  <c r="K20" i="15"/>
  <c r="I20" i="15"/>
  <c r="H20" i="15"/>
  <c r="F20" i="15"/>
  <c r="E20" i="15"/>
  <c r="C37" i="15"/>
  <c r="C36" i="15"/>
  <c r="C33" i="15"/>
  <c r="C32" i="15"/>
  <c r="C30" i="15"/>
  <c r="C28" i="15"/>
  <c r="C25" i="15"/>
  <c r="C24" i="15"/>
  <c r="AV4" i="13" l="1"/>
  <c r="AV5" i="13"/>
  <c r="AV6" i="13"/>
  <c r="AV7" i="13"/>
  <c r="AV8" i="13"/>
  <c r="AV9" i="13"/>
  <c r="AV10" i="13"/>
  <c r="AV11" i="13"/>
  <c r="AV12" i="13"/>
  <c r="AV13" i="13"/>
  <c r="AV14" i="13"/>
  <c r="AV15" i="13"/>
  <c r="AV16" i="13"/>
  <c r="AV17" i="13"/>
  <c r="AV18" i="13"/>
  <c r="AV19" i="13"/>
  <c r="AV20" i="13"/>
  <c r="AV3" i="13"/>
  <c r="AP4" i="14"/>
  <c r="AP5" i="14"/>
  <c r="AP6" i="14"/>
  <c r="AP7" i="14"/>
  <c r="AP8" i="14"/>
  <c r="AP9" i="14"/>
  <c r="AP10" i="14"/>
  <c r="AP11" i="14"/>
  <c r="AP12" i="14"/>
  <c r="AP13" i="14"/>
  <c r="AP14" i="14"/>
  <c r="AP15" i="14"/>
  <c r="AP16" i="14"/>
  <c r="AP17" i="14"/>
  <c r="AP18" i="14"/>
  <c r="AP19" i="14"/>
  <c r="AP20" i="14"/>
  <c r="AP21" i="14"/>
  <c r="AP22" i="14"/>
  <c r="AP3" i="14"/>
  <c r="C33" i="13" l="1"/>
  <c r="C34" i="13"/>
  <c r="C36" i="13"/>
  <c r="C37" i="13"/>
  <c r="C38" i="13"/>
  <c r="C41" i="13"/>
  <c r="C25" i="13"/>
  <c r="C26" i="13"/>
  <c r="C27" i="13"/>
  <c r="C28" i="13"/>
  <c r="C29" i="13"/>
  <c r="C30" i="13"/>
  <c r="C31" i="13"/>
  <c r="C32" i="13"/>
  <c r="C35" i="13"/>
  <c r="C39" i="13"/>
  <c r="C40" i="13"/>
  <c r="C44" i="14" l="1"/>
  <c r="E21" i="13" l="1"/>
  <c r="G21" i="13" l="1"/>
  <c r="H21" i="13"/>
  <c r="I21" i="13"/>
  <c r="J21" i="13"/>
  <c r="K21" i="13"/>
  <c r="L21" i="13"/>
  <c r="M21" i="13"/>
  <c r="N21" i="13"/>
  <c r="O21" i="13"/>
  <c r="P21" i="13"/>
  <c r="Q21" i="13"/>
  <c r="R21" i="13"/>
  <c r="S21" i="13"/>
  <c r="T21" i="13"/>
  <c r="V21" i="13"/>
  <c r="W21" i="13"/>
  <c r="Y21" i="13"/>
  <c r="F21" i="13"/>
  <c r="C40" i="14" l="1"/>
  <c r="C41" i="14"/>
  <c r="C42" i="14"/>
  <c r="C43" i="14"/>
  <c r="C26" i="14" l="1"/>
  <c r="C27" i="14"/>
  <c r="C28" i="14"/>
  <c r="C29" i="14"/>
  <c r="C31" i="14"/>
  <c r="C32" i="14"/>
  <c r="C33" i="14"/>
  <c r="C36" i="14"/>
  <c r="C37" i="14"/>
  <c r="C38" i="14"/>
  <c r="C39" i="14"/>
  <c r="C25" i="14"/>
  <c r="C35" i="14"/>
  <c r="C34" i="14"/>
  <c r="C30" i="14"/>
  <c r="C24" i="13" l="1"/>
  <c r="AU21" i="13"/>
  <c r="AT21" i="13"/>
  <c r="AS21" i="13"/>
  <c r="AQ21" i="13"/>
  <c r="AP21" i="13"/>
  <c r="AO21" i="13"/>
  <c r="AM21" i="13"/>
  <c r="AL21" i="13"/>
  <c r="AK21" i="13"/>
  <c r="AJ21" i="13"/>
  <c r="AH21" i="13"/>
  <c r="AF21" i="13"/>
  <c r="AD21" i="13"/>
  <c r="AC21" i="13"/>
  <c r="AA21" i="13"/>
  <c r="Z21" i="13"/>
  <c r="AN4" i="11" l="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3" i="11"/>
  <c r="AK4" i="12" l="1"/>
  <c r="AK5" i="12"/>
  <c r="AK6" i="12"/>
  <c r="AK7" i="12"/>
  <c r="AK8" i="12"/>
  <c r="AK9" i="12"/>
  <c r="AK10" i="12"/>
  <c r="AK11" i="12"/>
  <c r="AK12" i="12"/>
  <c r="AK13" i="12"/>
  <c r="AK14" i="12"/>
  <c r="AK15" i="12"/>
  <c r="AK16" i="12"/>
  <c r="AK17" i="12"/>
  <c r="C22" i="12" l="1"/>
  <c r="C26" i="12"/>
  <c r="C30" i="12"/>
  <c r="AK3" i="12"/>
  <c r="C20" i="12" s="1"/>
  <c r="C24" i="12"/>
  <c r="C28" i="12"/>
  <c r="C31" i="12"/>
  <c r="C32" i="12"/>
  <c r="C33" i="12"/>
  <c r="C34" i="12"/>
  <c r="C27" i="12"/>
  <c r="C29" i="12"/>
  <c r="C25" i="12"/>
  <c r="C23" i="12"/>
  <c r="C21" i="12"/>
  <c r="G17" i="11"/>
  <c r="H17" i="11"/>
  <c r="I17" i="11"/>
  <c r="J17" i="11"/>
  <c r="K17" i="11"/>
  <c r="L17" i="11"/>
  <c r="N17" i="11"/>
  <c r="O17" i="11"/>
  <c r="Q17" i="11"/>
  <c r="R17" i="11"/>
  <c r="S17" i="11"/>
  <c r="T17" i="11"/>
  <c r="U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J17" i="11"/>
  <c r="AK17" i="11"/>
  <c r="AL17" i="11"/>
  <c r="AM17" i="11"/>
  <c r="C22" i="11"/>
  <c r="C24" i="11"/>
  <c r="C26" i="11"/>
  <c r="C27" i="11"/>
  <c r="C28" i="11"/>
  <c r="C30" i="11"/>
  <c r="C31" i="11"/>
  <c r="C32" i="11"/>
  <c r="C33" i="11"/>
  <c r="C20" i="11"/>
  <c r="F17" i="11"/>
  <c r="E17" i="11"/>
  <c r="C29" i="11"/>
  <c r="C25" i="11"/>
  <c r="C23" i="11"/>
  <c r="C21" i="11"/>
  <c r="AS4" i="9" l="1"/>
  <c r="AS5" i="9"/>
  <c r="AS6" i="9"/>
  <c r="AS7" i="9"/>
  <c r="AS8" i="9"/>
  <c r="AS9" i="9"/>
  <c r="AS10" i="9"/>
  <c r="AS11" i="9"/>
  <c r="AS12" i="9"/>
  <c r="AS13" i="9"/>
  <c r="AS14" i="9"/>
  <c r="AS15" i="9"/>
  <c r="AS16" i="9"/>
  <c r="AS3" i="9"/>
  <c r="AL4" i="10" l="1"/>
  <c r="AL5" i="10"/>
  <c r="AL6" i="10"/>
  <c r="AL7" i="10"/>
  <c r="AL8" i="10"/>
  <c r="AL9" i="10"/>
  <c r="AL10" i="10"/>
  <c r="AL11" i="10"/>
  <c r="AL12" i="10"/>
  <c r="AL13" i="10"/>
  <c r="AL14" i="10"/>
  <c r="AL15" i="10"/>
  <c r="AL16" i="10"/>
  <c r="AL17" i="10"/>
  <c r="AL3" i="10"/>
  <c r="C33" i="10" l="1"/>
  <c r="C34" i="10"/>
  <c r="X17" i="9" l="1"/>
  <c r="C22" i="10" l="1"/>
  <c r="C23" i="10"/>
  <c r="C24" i="10"/>
  <c r="C27" i="10"/>
  <c r="C28" i="10"/>
  <c r="C31" i="10"/>
  <c r="C32" i="10"/>
  <c r="C23" i="9"/>
  <c r="C26" i="9"/>
  <c r="C27" i="9"/>
  <c r="C30" i="9"/>
  <c r="C31" i="9"/>
  <c r="C32" i="9"/>
  <c r="C33" i="9"/>
  <c r="C20" i="9"/>
  <c r="C30" i="10"/>
  <c r="C29" i="10"/>
  <c r="C26" i="10"/>
  <c r="C25" i="10"/>
  <c r="C21" i="10"/>
  <c r="C20" i="10"/>
  <c r="AR17" i="9"/>
  <c r="AQ17" i="9"/>
  <c r="AP17" i="9"/>
  <c r="AO17" i="9"/>
  <c r="AN17" i="9"/>
  <c r="AM17" i="9"/>
  <c r="AL17" i="9"/>
  <c r="AJ17" i="9"/>
  <c r="AI17" i="9"/>
  <c r="AH17" i="9"/>
  <c r="AG17" i="9"/>
  <c r="AF17" i="9"/>
  <c r="AD17" i="9"/>
  <c r="AB17" i="9"/>
  <c r="Z17" i="9"/>
  <c r="Y17" i="9"/>
  <c r="W17" i="9"/>
  <c r="U17" i="9"/>
  <c r="S17" i="9"/>
  <c r="R17" i="9"/>
  <c r="Q17" i="9"/>
  <c r="P17" i="9"/>
  <c r="N17" i="9"/>
  <c r="M17" i="9"/>
  <c r="L17" i="9"/>
  <c r="K17" i="9"/>
  <c r="I17" i="9"/>
  <c r="G17" i="9"/>
  <c r="F17" i="9"/>
  <c r="E17" i="9"/>
  <c r="C29" i="9"/>
  <c r="C28" i="9"/>
  <c r="C25" i="9"/>
  <c r="C24" i="9"/>
  <c r="C22" i="9"/>
  <c r="C21" i="9"/>
  <c r="AQ4" i="8" l="1"/>
  <c r="AQ5" i="8"/>
  <c r="AQ6" i="8"/>
  <c r="AQ7" i="8"/>
  <c r="AQ8" i="8"/>
  <c r="AQ9" i="8"/>
  <c r="AQ10" i="8"/>
  <c r="AQ11" i="8"/>
  <c r="AQ12" i="8"/>
  <c r="AQ13" i="8"/>
  <c r="AQ14" i="8"/>
  <c r="AQ15" i="8"/>
  <c r="AQ16" i="8"/>
  <c r="AQ3" i="8"/>
  <c r="AK4" i="7" l="1"/>
  <c r="AK5" i="7"/>
  <c r="AK6" i="7"/>
  <c r="AK7" i="7"/>
  <c r="AK8" i="7"/>
  <c r="AK9" i="7"/>
  <c r="AK10" i="7"/>
  <c r="AK11" i="7"/>
  <c r="AK12" i="7"/>
  <c r="AK13" i="7"/>
  <c r="AK14" i="7"/>
  <c r="AK15" i="7"/>
  <c r="AK3" i="7"/>
  <c r="C21" i="8" l="1"/>
  <c r="C24" i="8"/>
  <c r="C26" i="8"/>
  <c r="C27" i="8"/>
  <c r="C28" i="8"/>
  <c r="C30" i="8"/>
  <c r="C31" i="8"/>
  <c r="C32" i="8"/>
  <c r="C20" i="8"/>
  <c r="AP17" i="8"/>
  <c r="AO17" i="8"/>
  <c r="AN17" i="8"/>
  <c r="AM17" i="8"/>
  <c r="AK17" i="8"/>
  <c r="AJ17" i="8"/>
  <c r="AI17" i="8"/>
  <c r="AH17" i="8"/>
  <c r="AF17" i="8"/>
  <c r="AE17" i="8"/>
  <c r="AC17" i="8"/>
  <c r="AB17" i="8"/>
  <c r="AA17" i="8"/>
  <c r="Z17" i="8"/>
  <c r="Y17" i="8"/>
  <c r="X17" i="8"/>
  <c r="U17" i="8"/>
  <c r="T17" i="8"/>
  <c r="R17" i="8"/>
  <c r="Q17" i="8"/>
  <c r="O17" i="8"/>
  <c r="N17" i="8"/>
  <c r="M17" i="8"/>
  <c r="L17" i="8"/>
  <c r="J17" i="8"/>
  <c r="I17" i="8"/>
  <c r="H17" i="8"/>
  <c r="G17" i="8"/>
  <c r="E17" i="8"/>
  <c r="C33" i="8"/>
  <c r="C29" i="8"/>
  <c r="C25" i="8"/>
  <c r="F17" i="8"/>
  <c r="C22" i="8"/>
  <c r="C23" i="8" l="1"/>
  <c r="AQ17" i="6"/>
  <c r="AR4" i="6"/>
  <c r="AR5" i="6"/>
  <c r="AR7" i="6"/>
  <c r="AR8" i="6"/>
  <c r="AR9" i="6"/>
  <c r="AR10" i="6"/>
  <c r="AR11" i="6"/>
  <c r="AR12" i="6"/>
  <c r="AR13" i="6"/>
  <c r="AR14" i="6"/>
  <c r="AR15" i="6"/>
  <c r="AR16" i="6"/>
  <c r="AR3" i="6"/>
  <c r="C21" i="7" l="1"/>
  <c r="C24" i="7"/>
  <c r="C25" i="7"/>
  <c r="C27" i="7"/>
  <c r="C28" i="7"/>
  <c r="C29" i="7"/>
  <c r="C30" i="7"/>
  <c r="C31" i="7"/>
  <c r="C20" i="7"/>
  <c r="C22" i="7" l="1"/>
  <c r="C23" i="7"/>
  <c r="C26" i="7"/>
  <c r="C32" i="7"/>
  <c r="G6" i="6" l="1"/>
  <c r="AR6" i="6" s="1"/>
  <c r="C21" i="6"/>
  <c r="C24" i="6"/>
  <c r="C27" i="6"/>
  <c r="C28" i="6"/>
  <c r="C30" i="6"/>
  <c r="C31" i="6"/>
  <c r="C32" i="6"/>
  <c r="AO17" i="6"/>
  <c r="AN17" i="6"/>
  <c r="AL17" i="6"/>
  <c r="AK17" i="6"/>
  <c r="AJ17" i="6"/>
  <c r="AI17" i="6"/>
  <c r="AH17" i="6"/>
  <c r="AG17" i="6"/>
  <c r="AE17" i="6"/>
  <c r="AD17" i="6"/>
  <c r="AC17" i="6"/>
  <c r="AB17" i="6"/>
  <c r="AA17" i="6"/>
  <c r="Z17" i="6"/>
  <c r="Y17" i="6"/>
  <c r="V17" i="6"/>
  <c r="U17" i="6"/>
  <c r="T17" i="6"/>
  <c r="S17" i="6"/>
  <c r="P17" i="6"/>
  <c r="N17" i="6"/>
  <c r="J17" i="6"/>
  <c r="I17" i="6"/>
  <c r="H17" i="6"/>
  <c r="L17" i="6"/>
  <c r="C29" i="6"/>
  <c r="C26" i="6"/>
  <c r="C25" i="6"/>
  <c r="Q17" i="6"/>
  <c r="M17" i="6"/>
  <c r="C23" i="6" l="1"/>
  <c r="G17" i="6"/>
  <c r="C33" i="6"/>
  <c r="E17" i="6"/>
  <c r="C20" i="6"/>
  <c r="C22" i="6"/>
  <c r="AT7" i="1"/>
  <c r="AT8" i="1"/>
  <c r="AT12" i="1"/>
  <c r="AT14" i="1"/>
  <c r="AT15" i="1"/>
  <c r="AM17" i="1" l="1"/>
  <c r="AN17" i="1"/>
  <c r="AO17" i="1"/>
  <c r="AQ17" i="1"/>
  <c r="AR17" i="1"/>
  <c r="AS17" i="1"/>
  <c r="P4" i="3" l="1"/>
  <c r="C21" i="3" s="1"/>
  <c r="P5" i="3"/>
  <c r="C22" i="3" s="1"/>
  <c r="P6" i="3"/>
  <c r="C23" i="3" s="1"/>
  <c r="P7" i="3"/>
  <c r="C24" i="3" s="1"/>
  <c r="P8" i="3"/>
  <c r="C25" i="3" s="1"/>
  <c r="P9" i="3"/>
  <c r="C26" i="3" s="1"/>
  <c r="P10" i="3"/>
  <c r="C27" i="3" s="1"/>
  <c r="P11" i="3"/>
  <c r="C28" i="3" s="1"/>
  <c r="P12" i="3"/>
  <c r="C29" i="3" s="1"/>
  <c r="P13" i="3"/>
  <c r="C30" i="3" s="1"/>
  <c r="P14" i="3"/>
  <c r="C31" i="3" s="1"/>
  <c r="P15" i="3"/>
  <c r="C32" i="3" s="1"/>
  <c r="P3" i="3"/>
  <c r="C20" i="3" s="1"/>
  <c r="C29" i="1" l="1"/>
  <c r="C31" i="1"/>
  <c r="C32" i="1"/>
  <c r="AD17" i="1"/>
  <c r="AE17" i="1"/>
  <c r="AG17" i="1"/>
  <c r="AH17" i="1"/>
  <c r="AI17" i="1"/>
  <c r="AJ17" i="1"/>
  <c r="AK17" i="1"/>
  <c r="AK16" i="5" l="1"/>
  <c r="AK17" i="5"/>
  <c r="AK19" i="5"/>
  <c r="AK25" i="5"/>
  <c r="AI23" i="5"/>
  <c r="Z17" i="1" l="1"/>
  <c r="AB17" i="1"/>
  <c r="AC17" i="1"/>
  <c r="G17" i="1" l="1"/>
  <c r="I17" i="1"/>
  <c r="J17" i="1"/>
  <c r="N17" i="1"/>
  <c r="P17" i="1"/>
  <c r="T17" i="1"/>
  <c r="U17" i="1"/>
  <c r="V17" i="1"/>
  <c r="W17" i="1"/>
  <c r="Y17" i="1"/>
  <c r="Z23" i="5" l="1"/>
  <c r="Z16" i="5"/>
  <c r="Y17" i="5"/>
  <c r="Y16" i="5"/>
  <c r="X26" i="5"/>
  <c r="V26" i="5" l="1"/>
  <c r="V16" i="5"/>
  <c r="U26" i="5"/>
  <c r="U17" i="5"/>
  <c r="U16" i="5"/>
  <c r="S4" i="1"/>
  <c r="S17" i="1" s="1"/>
  <c r="R13" i="1" l="1"/>
  <c r="AT13" i="1" l="1"/>
  <c r="C30" i="1" s="1"/>
  <c r="T26" i="5"/>
  <c r="T23" i="5"/>
  <c r="T16" i="5"/>
  <c r="S26" i="5"/>
  <c r="S17" i="5"/>
  <c r="S16" i="5"/>
  <c r="Q4" i="1"/>
  <c r="AT4" i="1" l="1"/>
  <c r="C21" i="1" s="1"/>
  <c r="Q17" i="1"/>
  <c r="P26" i="5"/>
  <c r="O26" i="5"/>
  <c r="O17" i="5"/>
  <c r="O16" i="5"/>
  <c r="M24" i="5"/>
  <c r="M16" i="5"/>
  <c r="N26" i="5"/>
  <c r="N16" i="5"/>
  <c r="L16" i="5"/>
  <c r="M3" i="1" l="1"/>
  <c r="K3" i="1"/>
  <c r="AT3" i="1" s="1"/>
  <c r="M11" i="1"/>
  <c r="AT11" i="1" s="1"/>
  <c r="K16" i="1"/>
  <c r="K10" i="1"/>
  <c r="K29" i="5"/>
  <c r="K24" i="5"/>
  <c r="K23" i="5"/>
  <c r="K16" i="5"/>
  <c r="J23" i="5"/>
  <c r="H26" i="5"/>
  <c r="H23" i="5"/>
  <c r="F26" i="5"/>
  <c r="F23" i="5"/>
  <c r="F19" i="5"/>
  <c r="I26" i="5"/>
  <c r="G26" i="5"/>
  <c r="E29" i="5"/>
  <c r="E19" i="5"/>
  <c r="E17" i="5"/>
  <c r="F10" i="1"/>
  <c r="AT10" i="1" s="1"/>
  <c r="F6" i="1"/>
  <c r="AT6" i="1" l="1"/>
  <c r="C23" i="1" s="1"/>
  <c r="C28" i="1"/>
  <c r="F17" i="1"/>
  <c r="AT17" i="1" s="1"/>
  <c r="K17" i="1"/>
  <c r="C20" i="1"/>
  <c r="M17" i="1"/>
  <c r="E16" i="1"/>
  <c r="AT16" i="1" s="1"/>
  <c r="E5" i="1"/>
  <c r="AT5" i="1" s="1"/>
  <c r="E9" i="1"/>
  <c r="AT9" i="1" s="1"/>
  <c r="C27" i="1" l="1"/>
  <c r="C26" i="1"/>
  <c r="C33" i="1"/>
  <c r="C22" i="1"/>
  <c r="C24" i="1"/>
  <c r="C25" i="1"/>
  <c r="E17" i="1"/>
</calcChain>
</file>

<file path=xl/comments1.xml><?xml version="1.0" encoding="utf-8"?>
<comments xmlns="http://schemas.openxmlformats.org/spreadsheetml/2006/main">
  <authors>
    <author>PS INDUSTRIES</author>
  </authors>
  <commentList>
    <comment ref="X5" authorId="0" shapeId="0">
      <text>
        <r>
          <rPr>
            <b/>
            <sz val="9"/>
            <color indexed="81"/>
            <rFont val="Tahoma"/>
            <family val="2"/>
          </rPr>
          <t>SYNTYCHE TRADEX</t>
        </r>
      </text>
    </comment>
    <comment ref="AJ6" authorId="0" shapeId="0">
      <text>
        <r>
          <rPr>
            <b/>
            <sz val="9"/>
            <color indexed="81"/>
            <rFont val="Tahoma"/>
            <family val="2"/>
          </rPr>
          <t>1000 kg glaxy haridwar</t>
        </r>
      </text>
    </comment>
  </commentList>
</comments>
</file>

<file path=xl/comments2.xml><?xml version="1.0" encoding="utf-8"?>
<comments xmlns="http://schemas.openxmlformats.org/spreadsheetml/2006/main">
  <authors>
    <author>PS INDUSTRIES</author>
  </authors>
  <commentList>
    <comment ref="AC6" authorId="0" shapeId="0">
      <text>
        <r>
          <rPr>
            <b/>
            <sz val="9"/>
            <color indexed="81"/>
            <rFont val="Tahoma"/>
            <family val="2"/>
          </rPr>
          <t>sale 1500 kg</t>
        </r>
      </text>
    </comment>
    <comment ref="AC7" authorId="0" shapeId="0">
      <text>
        <r>
          <rPr>
            <b/>
            <sz val="9"/>
            <color indexed="81"/>
            <rFont val="Tahoma"/>
            <family val="2"/>
          </rPr>
          <t>sale 575 kg</t>
        </r>
      </text>
    </comment>
    <comment ref="AC8" authorId="0" shapeId="0">
      <text>
        <r>
          <rPr>
            <b/>
            <sz val="9"/>
            <color indexed="81"/>
            <rFont val="Tahoma"/>
            <family val="2"/>
          </rPr>
          <t>sale 2725 kg</t>
        </r>
      </text>
    </comment>
  </commentList>
</comments>
</file>

<file path=xl/comments3.xml><?xml version="1.0" encoding="utf-8"?>
<comments xmlns="http://schemas.openxmlformats.org/spreadsheetml/2006/main">
  <authors>
    <author>PS INDUSTRIES</author>
  </authors>
  <commentList>
    <comment ref="N3" authorId="0" shapeId="0">
      <text>
        <r>
          <rPr>
            <b/>
            <sz val="9"/>
            <color indexed="81"/>
            <rFont val="Tahoma"/>
            <family val="2"/>
          </rPr>
          <t xml:space="preserve">
SALE TO DLJM 7000
</t>
        </r>
      </text>
    </comment>
  </commentList>
</comments>
</file>

<file path=xl/sharedStrings.xml><?xml version="1.0" encoding="utf-8"?>
<sst xmlns="http://schemas.openxmlformats.org/spreadsheetml/2006/main" count="2002" uniqueCount="286">
  <si>
    <t>ABS</t>
  </si>
  <si>
    <t>KGS</t>
  </si>
  <si>
    <t>PP</t>
  </si>
  <si>
    <t>HIPS</t>
  </si>
  <si>
    <t>POM 090</t>
  </si>
  <si>
    <t>BALANCE STOCK</t>
  </si>
  <si>
    <t>GPPS</t>
  </si>
  <si>
    <t>MASTER BATCH STOCK</t>
  </si>
  <si>
    <t>RM NAME</t>
  </si>
  <si>
    <t xml:space="preserve">MASTER BACH      </t>
  </si>
  <si>
    <t>CUTTING MATERIAL</t>
  </si>
  <si>
    <t>HIPS - WHITE</t>
  </si>
  <si>
    <t>PP-WHITE</t>
  </si>
  <si>
    <t>PP COOLER CUTTING WHITE</t>
  </si>
  <si>
    <t>ABS - GRAY</t>
  </si>
  <si>
    <t>ABS - WHITE</t>
  </si>
  <si>
    <t>ABS -BLUE</t>
  </si>
  <si>
    <t>ABS - BLACK</t>
  </si>
  <si>
    <t>ABS - A ROUT LET WHITE</t>
  </si>
  <si>
    <t>ABS - KANT WHITE</t>
  </si>
  <si>
    <t xml:space="preserve">ABS - GOLDEN </t>
  </si>
  <si>
    <t>GPPS - CUTTING</t>
  </si>
  <si>
    <t>TRANSPARENT - MIX</t>
  </si>
  <si>
    <t>TRANSPARENT - NATURAL</t>
  </si>
  <si>
    <t>TRANSPARENT - WHITE</t>
  </si>
  <si>
    <t xml:space="preserve">RAW MATERIAL </t>
  </si>
  <si>
    <t>TOYLAC 555 (ABS TRANSPARENT)</t>
  </si>
  <si>
    <t>ABS 920</t>
  </si>
  <si>
    <t>SU JET BLACK (KENT BLACK )</t>
  </si>
  <si>
    <t xml:space="preserve">PP COMPOUND SEE SIDE BLACK </t>
  </si>
  <si>
    <t>PP COMPOUND SEE SIDE WHITE</t>
  </si>
  <si>
    <t>RELIANCE  PP B 220</t>
  </si>
  <si>
    <t>ABS KENT WHITE UVS 120</t>
  </si>
  <si>
    <t>RELIANCE PP B120</t>
  </si>
  <si>
    <t>PP 2120MC</t>
  </si>
  <si>
    <t>HIPS SH03</t>
  </si>
  <si>
    <t>PP  MI 3530</t>
  </si>
  <si>
    <t>DELRIN</t>
  </si>
  <si>
    <t>GPPS 220 LV</t>
  </si>
  <si>
    <t>ABS-GOLDEN 7280</t>
  </si>
  <si>
    <t>ABS-GRAY 8845</t>
  </si>
  <si>
    <t xml:space="preserve"> ABS-1458</t>
  </si>
  <si>
    <t>ABS-3868</t>
  </si>
  <si>
    <t>ABS-GRAY SA71407101</t>
  </si>
  <si>
    <t>PP-WHITE 101260</t>
  </si>
  <si>
    <t>PP-340/TP 10W24102D</t>
  </si>
  <si>
    <t>PP-1543</t>
  </si>
  <si>
    <t>PP-BLUE</t>
  </si>
  <si>
    <t>HIPS-114</t>
  </si>
  <si>
    <t>GPPS-239</t>
  </si>
  <si>
    <t>SHIFT NAME ( B )</t>
  </si>
  <si>
    <t>TOTAL</t>
  </si>
  <si>
    <t>DERLIN POM 090</t>
  </si>
  <si>
    <t>OP STOCK</t>
  </si>
  <si>
    <t>UOM</t>
  </si>
  <si>
    <t>MATERIAL GROUP</t>
  </si>
  <si>
    <t>MATERIAL NAME</t>
  </si>
  <si>
    <t>SR.NO.</t>
  </si>
  <si>
    <t>SHIFT A</t>
  </si>
  <si>
    <t>SHIFT B</t>
  </si>
  <si>
    <t xml:space="preserve"> </t>
  </si>
  <si>
    <t>RAW MATERIAL DAY BY DAY CONSUMPTION SHIFT ( A &amp; B )</t>
  </si>
  <si>
    <t xml:space="preserve">          </t>
  </si>
  <si>
    <t>02/06/2025RECEVE</t>
  </si>
  <si>
    <t>06/06/2025RECEVE</t>
  </si>
  <si>
    <t>07/06/2025 RECEVE</t>
  </si>
  <si>
    <t>RAW MATERIAL STOCK</t>
  </si>
  <si>
    <t>AVL IN KG</t>
  </si>
  <si>
    <t>RE ORDER LEVEL</t>
  </si>
  <si>
    <t>AVL STOCK</t>
  </si>
  <si>
    <t>10/06/2025 RECEVE</t>
  </si>
  <si>
    <t>HIPS - NATURAL</t>
  </si>
  <si>
    <t>13/06/2025 RECEVE</t>
  </si>
  <si>
    <t>14/06/2025 RECEVE</t>
  </si>
  <si>
    <t>PP SRM 100 NC</t>
  </si>
  <si>
    <t>16/06/2025 RECEVE</t>
  </si>
  <si>
    <t>SRM 100 NC</t>
  </si>
  <si>
    <t>PP - BLACK</t>
  </si>
  <si>
    <t>PP - BLUE</t>
  </si>
  <si>
    <t>ABS - AIR OUT LET WHITE</t>
  </si>
  <si>
    <t>ABS - KENT WHITE</t>
  </si>
  <si>
    <t>ABS - TPR</t>
  </si>
  <si>
    <t xml:space="preserve">TRANSPARENT - MIX BLACK </t>
  </si>
  <si>
    <t>20/06/2025 RECEVE</t>
  </si>
  <si>
    <t>GPPS 239</t>
  </si>
  <si>
    <t>9776 Z BLACK</t>
  </si>
  <si>
    <t>PP 101260</t>
  </si>
  <si>
    <t>PP BLUE</t>
  </si>
  <si>
    <t>PP 1543</t>
  </si>
  <si>
    <t>ABS 3868</t>
  </si>
  <si>
    <t>ABS GPLDEN 7280</t>
  </si>
  <si>
    <t>SMOKE GRAY 367</t>
  </si>
  <si>
    <t>ABS 8845</t>
  </si>
  <si>
    <t>ABS 1458</t>
  </si>
  <si>
    <t>ABS 1040 SMOKE GRAY</t>
  </si>
  <si>
    <t>BLEND COLOUR</t>
  </si>
  <si>
    <t>DIRCO</t>
  </si>
  <si>
    <t>PP BLACK JET 340</t>
  </si>
  <si>
    <t>MINO COLOUR</t>
  </si>
  <si>
    <t>EP 114</t>
  </si>
  <si>
    <t>AVIENT</t>
  </si>
  <si>
    <t>SCJ</t>
  </si>
  <si>
    <t>SIDH</t>
  </si>
  <si>
    <t>PARTY NAME</t>
  </si>
  <si>
    <t>ABS GOLDEN 7280</t>
  </si>
  <si>
    <t>PHY OP STK 21-06-26</t>
  </si>
  <si>
    <t>PP COMPOUND SEE SIDE GRAY</t>
  </si>
  <si>
    <t>25/06/2025 RECEVE</t>
  </si>
  <si>
    <t>28/06/2025 RECEVE</t>
  </si>
  <si>
    <t>01/07/2025 RECEVE</t>
  </si>
  <si>
    <t>04/07/2025 RECEVE</t>
  </si>
  <si>
    <t>ABS 10040 SMOKE GRAY</t>
  </si>
  <si>
    <t>08/07/2025 RECEVE</t>
  </si>
  <si>
    <t>10/07/2025 RECEVE</t>
  </si>
  <si>
    <t>14/07/2025 RECEVE</t>
  </si>
  <si>
    <t>22/07/2025 RECEVE</t>
  </si>
  <si>
    <t>29/07/2025 RECEVE</t>
  </si>
  <si>
    <t>31/07/2025 RECEVE</t>
  </si>
  <si>
    <t>OP STOCK 01-08-25</t>
  </si>
  <si>
    <t xml:space="preserve"> OP STK 01-08-26</t>
  </si>
  <si>
    <t>06-08-2025 RCV</t>
  </si>
  <si>
    <t>10-08-2025 RCV</t>
  </si>
  <si>
    <t>12-08-2025 RCV</t>
  </si>
  <si>
    <t>13-08-2025 RCV</t>
  </si>
  <si>
    <t>14-08-2025 RCV</t>
  </si>
  <si>
    <t>21-08-2025 RCV</t>
  </si>
  <si>
    <t>23-08-2025 RCV</t>
  </si>
  <si>
    <t>27-08-2025 RCV</t>
  </si>
  <si>
    <t>RECEVE   03-09-2025</t>
  </si>
  <si>
    <t>RECEVE   02-09-2025</t>
  </si>
  <si>
    <t xml:space="preserve"> OP STK 01-09-26</t>
  </si>
  <si>
    <t>OP STOCK 01-09-25</t>
  </si>
  <si>
    <t>RECEVE   08-09-2025</t>
  </si>
  <si>
    <t>RECEVE   12-09-2025</t>
  </si>
  <si>
    <t>RECEVE   13-09-2025</t>
  </si>
  <si>
    <t>COOL GREY 8890</t>
  </si>
  <si>
    <t>GRAPHITE GRAEY 8958</t>
  </si>
  <si>
    <t>RECEVE   17-09-2025</t>
  </si>
  <si>
    <t>RECEVE   18-09-2025</t>
  </si>
  <si>
    <t>RECEVE   19-09-2025</t>
  </si>
  <si>
    <t>RECEVE   23-09-2025</t>
  </si>
  <si>
    <t>08-10-2025 RCV</t>
  </si>
  <si>
    <t>09-10-2025 RCV</t>
  </si>
  <si>
    <t>15-10-2025 RCV</t>
  </si>
  <si>
    <t>OP STOCK 01-11-25</t>
  </si>
  <si>
    <t xml:space="preserve"> OP STK 01-11-26</t>
  </si>
  <si>
    <t>118390333 (k-0148)</t>
  </si>
  <si>
    <t>35266 (k-0147)</t>
  </si>
  <si>
    <t>04-11-2025 RCV</t>
  </si>
  <si>
    <t>05-11-2025 RCV</t>
  </si>
  <si>
    <t>06-11-2025 RCV</t>
  </si>
  <si>
    <t>110 MA ( CM12 RR )</t>
  </si>
  <si>
    <t>TPT 018 FILLER</t>
  </si>
  <si>
    <t>110 MA ( M12 RR )</t>
  </si>
  <si>
    <t>08-11-2025 RCV</t>
  </si>
  <si>
    <t>11-11-2025 RCV</t>
  </si>
  <si>
    <t>ALOK</t>
  </si>
  <si>
    <t>12-11-2025 RCV</t>
  </si>
  <si>
    <t>CALCIUM FILLER 5208040 (DL108)</t>
  </si>
  <si>
    <t>14-11-2025 RCV</t>
  </si>
  <si>
    <t>DARK GRAY 2115741</t>
  </si>
  <si>
    <t>17-11-2025 RCV</t>
  </si>
  <si>
    <t>19-11-2025 RCV</t>
  </si>
  <si>
    <t>20-11-2025 RCV</t>
  </si>
  <si>
    <t>21-11-2025 RCV</t>
  </si>
  <si>
    <t>25-11-2025 RCV</t>
  </si>
  <si>
    <t>PP B 400 MN</t>
  </si>
  <si>
    <t>28-11-2025 RCV</t>
  </si>
  <si>
    <t>OP STOCK 01-12-25</t>
  </si>
  <si>
    <t>RCV
02-12-2025</t>
  </si>
  <si>
    <t>RCV
04-12-2025</t>
  </si>
  <si>
    <t>WARM GRAY 8907</t>
  </si>
  <si>
    <t>RCV
06-12-2025</t>
  </si>
  <si>
    <t>RCV
08-12-2025</t>
  </si>
  <si>
    <t>RCV
10-12-2025</t>
  </si>
  <si>
    <t>RCV
12-12-2025</t>
  </si>
  <si>
    <t>RCV
15-12-2025</t>
  </si>
  <si>
    <t>RCV
18-12-2025</t>
  </si>
  <si>
    <t>RCV
21-12-2025</t>
  </si>
  <si>
    <t>PPTF 30% SKY BLUE</t>
  </si>
  <si>
    <t>RCV
25-12-2025</t>
  </si>
  <si>
    <t>RCV
29-12-2025</t>
  </si>
  <si>
    <t xml:space="preserve"> OP STK 01-1-26</t>
  </si>
  <si>
    <t>OP STOCK 01-01-26</t>
  </si>
  <si>
    <t>MAKROLON 2407 NATURAL</t>
  </si>
  <si>
    <t>PC</t>
  </si>
  <si>
    <t>RCV 
07-01-2026</t>
  </si>
  <si>
    <t>RCV
08-01-2026</t>
  </si>
  <si>
    <t>RCV 
12-01-2026</t>
  </si>
  <si>
    <t>RCV 
15-01-2026</t>
  </si>
  <si>
    <t>RCV 
17-01-2026</t>
  </si>
  <si>
    <t>RCV 
19-01-2026</t>
  </si>
  <si>
    <t>RCV 
21-01-2026</t>
  </si>
  <si>
    <t>RCV 
30-01-2026</t>
  </si>
  <si>
    <t>RCV 
31-01-2026</t>
  </si>
  <si>
    <t>receve
03-02-2026</t>
  </si>
  <si>
    <t>receve
05-02-2026</t>
  </si>
  <si>
    <t>receve
06-02-2026</t>
  </si>
  <si>
    <t>receve
07-02-2026</t>
  </si>
  <si>
    <t>ICP IM 3120 MA</t>
  </si>
  <si>
    <t>AS PR PHY
 25-02-26</t>
  </si>
  <si>
    <t>R/M NAME</t>
  </si>
  <si>
    <t>M/B             27-02-2026 OPENING</t>
  </si>
  <si>
    <t>R/M            27-02-2026 OPENING</t>
  </si>
  <si>
    <t>M/B NAME</t>
  </si>
  <si>
    <t>DIRCO 7300</t>
  </si>
  <si>
    <t>ABS 300MFR</t>
  </si>
  <si>
    <t xml:space="preserve">ABS 380 </t>
  </si>
  <si>
    <t xml:space="preserve">PP BLACK </t>
  </si>
  <si>
    <t xml:space="preserve">PP WHITE </t>
  </si>
  <si>
    <t>Total</t>
  </si>
  <si>
    <t>SR. NO.</t>
  </si>
  <si>
    <t>R.M NAME</t>
  </si>
  <si>
    <t>HIPS - NATURAL+ PP 114 EVA BACK COVER</t>
  </si>
  <si>
    <t>ABS 300 NATURAL</t>
  </si>
  <si>
    <t>PC + ABS</t>
  </si>
  <si>
    <t xml:space="preserve">PP COMPOUND SEE SIDE GRAY </t>
  </si>
  <si>
    <t>MB-11135 WHITE</t>
  </si>
  <si>
    <t>INNO COLOR</t>
  </si>
  <si>
    <t>ABS 300 MFR</t>
  </si>
  <si>
    <t>PP NATURAL</t>
  </si>
  <si>
    <t>ABS TRP</t>
  </si>
  <si>
    <t>BAJAJ  EXTENSIONS BOARD</t>
  </si>
  <si>
    <t>ABS MIX</t>
  </si>
  <si>
    <t>ABS + PC</t>
  </si>
  <si>
    <t>ABS AIROUTLET</t>
  </si>
  <si>
    <t>PP SKY BLUE</t>
  </si>
  <si>
    <t>EVA BACK COVER</t>
  </si>
  <si>
    <t>ABS  BLACK</t>
  </si>
  <si>
    <t>ABS GREY</t>
  </si>
  <si>
    <t>Cutting Stock As on 20th MAY 2026</t>
  </si>
  <si>
    <t xml:space="preserve">PP KLJ GREY </t>
  </si>
  <si>
    <t xml:space="preserve">ABS GOLDEN </t>
  </si>
  <si>
    <t xml:space="preserve">ABS BLUE </t>
  </si>
  <si>
    <t>HIPS WHITE</t>
  </si>
  <si>
    <t>PP 3120 MA</t>
  </si>
  <si>
    <t>PP 2120</t>
  </si>
  <si>
    <t>TRANSPARENT WHITE</t>
  </si>
  <si>
    <t>TRANSPARENT NATURAL</t>
  </si>
  <si>
    <t>BAJAJ  EXTENSIONS BOARD ABS + PC</t>
  </si>
  <si>
    <t>ABS NATURAL 300</t>
  </si>
  <si>
    <t>PP KLJ WHITE/ PP COOLING CUTTING</t>
  </si>
  <si>
    <t>ABS 300</t>
  </si>
  <si>
    <t>MB 9776</t>
  </si>
  <si>
    <t>PP 220</t>
  </si>
  <si>
    <t>PC TANK BLACK</t>
  </si>
  <si>
    <t>TANK PC -BLACK</t>
  </si>
  <si>
    <t>HIPS 114</t>
  </si>
  <si>
    <t>418323340-BLUE</t>
  </si>
  <si>
    <t>318322626-GREEN</t>
  </si>
  <si>
    <t>NNC-BROWN</t>
  </si>
  <si>
    <t>818357271-PINK</t>
  </si>
  <si>
    <t>SCJ COLOURS</t>
  </si>
  <si>
    <t>MB-340</t>
  </si>
  <si>
    <t>OP STOCK 01-06-26</t>
  </si>
  <si>
    <t xml:space="preserve"> OP STK 01-06-26</t>
  </si>
  <si>
    <t>AVL. IN KG</t>
  </si>
  <si>
    <t>RCV. 01-06-2026</t>
  </si>
  <si>
    <t>BACKCOVER</t>
  </si>
  <si>
    <t>HIPH</t>
  </si>
  <si>
    <t>RCV. 02-06-2026</t>
  </si>
  <si>
    <t>RCV. 03-06-2026</t>
  </si>
  <si>
    <t>MB- 2115741</t>
  </si>
  <si>
    <t xml:space="preserve">RCV. 03-06-2026 </t>
  </si>
  <si>
    <t>RCV. 04-06-2026</t>
  </si>
  <si>
    <t xml:space="preserve">RCV. 05-06-2026 </t>
  </si>
  <si>
    <t>RCV. 05-06-2026</t>
  </si>
  <si>
    <t>PC CUTTING</t>
  </si>
  <si>
    <t>RCV. 06-06-2026</t>
  </si>
  <si>
    <t>PC + ABS CUTTING</t>
  </si>
  <si>
    <t>PP - GRAY</t>
  </si>
  <si>
    <t>PC-CUTTING</t>
  </si>
  <si>
    <t xml:space="preserve">RCV. 08-06-2026 </t>
  </si>
  <si>
    <t>RCV. 08-06-2026</t>
  </si>
  <si>
    <t>BAJ</t>
  </si>
  <si>
    <t>BAC</t>
  </si>
  <si>
    <t>TAN</t>
  </si>
  <si>
    <t>TRA</t>
  </si>
  <si>
    <t>GPP</t>
  </si>
  <si>
    <t xml:space="preserve">PP </t>
  </si>
  <si>
    <t xml:space="preserve">RCV. 09-06-2026 </t>
  </si>
  <si>
    <t>TRF. NPS CLASSIC 09-06-2026</t>
  </si>
  <si>
    <t>RCV. 09-06-2026</t>
  </si>
  <si>
    <t>TRANSPARENT MIX BLACK</t>
  </si>
  <si>
    <t>ABS- 920</t>
  </si>
  <si>
    <t>ABS-920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</si>
</sst>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Baskerville Old Face"/>
      <family val="1"/>
    </font>
    <font>
      <b/>
      <sz val="22"/>
      <color theme="1"/>
      <name val="Baskerville Old Face"/>
      <family val="1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b/>
      <sz val="20"/>
      <color rgb="FFFF0000"/>
      <name val="Baskerville Old Face"/>
      <family val="1"/>
    </font>
    <font>
      <b/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1" fillId="0" borderId="0"/>
  </cellStyleXfs>
  <cellXfs count="26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14" fontId="13" fillId="2" borderId="1" xfId="0" applyNumberFormat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15" fontId="1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14" fontId="13" fillId="3" borderId="1" xfId="0" applyNumberFormat="1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4" fillId="0" borderId="1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6" fillId="6" borderId="14" xfId="0" applyFont="1" applyFill="1" applyBorder="1" applyAlignment="1">
      <alignment horizontal="center" vertical="center"/>
    </xf>
    <xf numFmtId="0" fontId="16" fillId="6" borderId="13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0" fontId="18" fillId="6" borderId="15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  <xf numFmtId="15" fontId="18" fillId="8" borderId="1" xfId="0" applyNumberFormat="1" applyFont="1" applyFill="1" applyBorder="1" applyAlignment="1">
      <alignment horizontal="center" vertical="center"/>
    </xf>
    <xf numFmtId="0" fontId="0" fillId="0" borderId="13" xfId="0" applyBorder="1"/>
    <xf numFmtId="0" fontId="18" fillId="6" borderId="19" xfId="0" applyFont="1" applyFill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5" fillId="4" borderId="2" xfId="0" applyFont="1" applyFill="1" applyBorder="1" applyAlignment="1">
      <alignment vertical="center"/>
    </xf>
    <xf numFmtId="0" fontId="11" fillId="0" borderId="10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3" fillId="7" borderId="23" xfId="0" applyFont="1" applyFill="1" applyBorder="1" applyAlignment="1">
      <alignment horizontal="center"/>
    </xf>
    <xf numFmtId="14" fontId="13" fillId="3" borderId="24" xfId="0" applyNumberFormat="1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/>
    </xf>
    <xf numFmtId="0" fontId="0" fillId="0" borderId="25" xfId="0" applyBorder="1"/>
    <xf numFmtId="0" fontId="14" fillId="0" borderId="26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0" fillId="0" borderId="1" xfId="0" applyBorder="1"/>
    <xf numFmtId="0" fontId="13" fillId="7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13" fillId="9" borderId="0" xfId="0" applyFont="1" applyFill="1" applyAlignment="1">
      <alignment horizontal="center"/>
    </xf>
    <xf numFmtId="0" fontId="17" fillId="9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5" fillId="4" borderId="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5" fillId="4" borderId="2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10" borderId="23" xfId="0" applyFont="1" applyFill="1" applyBorder="1" applyAlignment="1">
      <alignment horizontal="center"/>
    </xf>
    <xf numFmtId="0" fontId="13" fillId="9" borderId="1" xfId="0" applyFont="1" applyFill="1" applyBorder="1" applyAlignment="1">
      <alignment horizontal="center"/>
    </xf>
    <xf numFmtId="0" fontId="0" fillId="4" borderId="0" xfId="0" applyFill="1"/>
    <xf numFmtId="0" fontId="0" fillId="0" borderId="0" xfId="0" applyBorder="1" applyAlignment="1">
      <alignment horizontal="center"/>
    </xf>
    <xf numFmtId="0" fontId="0" fillId="0" borderId="0" xfId="0" applyBorder="1" applyAlignment="1">
      <alignment vertical="center"/>
    </xf>
    <xf numFmtId="0" fontId="13" fillId="9" borderId="0" xfId="0" applyFont="1" applyFill="1" applyBorder="1" applyAlignment="1">
      <alignment vertical="center"/>
    </xf>
    <xf numFmtId="0" fontId="0" fillId="9" borderId="0" xfId="0" applyFill="1" applyBorder="1" applyAlignment="1">
      <alignment vertical="center"/>
    </xf>
    <xf numFmtId="0" fontId="13" fillId="9" borderId="27" xfId="0" applyFont="1" applyFill="1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13" fillId="9" borderId="30" xfId="0" applyFont="1" applyFill="1" applyBorder="1" applyAlignment="1">
      <alignment vertical="center"/>
    </xf>
    <xf numFmtId="0" fontId="13" fillId="9" borderId="31" xfId="0" applyFont="1" applyFill="1" applyBorder="1" applyAlignment="1">
      <alignment vertical="center"/>
    </xf>
    <xf numFmtId="0" fontId="0" fillId="9" borderId="31" xfId="0" applyFill="1" applyBorder="1" applyAlignment="1">
      <alignment vertical="center"/>
    </xf>
    <xf numFmtId="0" fontId="13" fillId="9" borderId="32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5" xfId="0" applyBorder="1" applyAlignment="1">
      <alignment vertical="center"/>
    </xf>
    <xf numFmtId="0" fontId="11" fillId="11" borderId="1" xfId="0" applyFont="1" applyFill="1" applyBorder="1" applyAlignment="1">
      <alignment horizontal="center"/>
    </xf>
    <xf numFmtId="0" fontId="15" fillId="4" borderId="2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 wrapText="1"/>
    </xf>
    <xf numFmtId="14" fontId="13" fillId="12" borderId="1" xfId="0" applyNumberFormat="1" applyFont="1" applyFill="1" applyBorder="1" applyAlignment="1">
      <alignment horizontal="center" vertical="center" wrapText="1"/>
    </xf>
    <xf numFmtId="14" fontId="13" fillId="12" borderId="24" xfId="0" applyNumberFormat="1" applyFont="1" applyFill="1" applyBorder="1" applyAlignment="1">
      <alignment horizontal="center" vertical="center" wrapText="1"/>
    </xf>
    <xf numFmtId="0" fontId="11" fillId="12" borderId="23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/>
    <xf numFmtId="0" fontId="0" fillId="0" borderId="2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15" fillId="4" borderId="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3" fillId="9" borderId="28" xfId="0" applyFont="1" applyFill="1" applyBorder="1" applyAlignment="1">
      <alignment vertical="center"/>
    </xf>
    <xf numFmtId="0" fontId="13" fillId="9" borderId="2" xfId="0" applyFont="1" applyFill="1" applyBorder="1" applyAlignment="1">
      <alignment vertical="center"/>
    </xf>
    <xf numFmtId="14" fontId="13" fillId="10" borderId="1" xfId="0" applyNumberFormat="1" applyFont="1" applyFill="1" applyBorder="1" applyAlignment="1">
      <alignment horizontal="center" vertical="center" wrapText="1"/>
    </xf>
    <xf numFmtId="0" fontId="11" fillId="0" borderId="25" xfId="0" applyFont="1" applyBorder="1" applyAlignment="1">
      <alignment horizontal="center"/>
    </xf>
    <xf numFmtId="0" fontId="0" fillId="0" borderId="10" xfId="0" applyBorder="1"/>
    <xf numFmtId="0" fontId="0" fillId="0" borderId="24" xfId="0" applyBorder="1"/>
    <xf numFmtId="0" fontId="13" fillId="13" borderId="23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14" fontId="13" fillId="2" borderId="24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0" fontId="13" fillId="9" borderId="1" xfId="0" applyFont="1" applyFill="1" applyBorder="1" applyAlignment="1">
      <alignment horizontal="center" vertical="center"/>
    </xf>
    <xf numFmtId="14" fontId="13" fillId="10" borderId="24" xfId="0" applyNumberFormat="1" applyFont="1" applyFill="1" applyBorder="1" applyAlignment="1">
      <alignment horizontal="center" vertical="center" wrapText="1"/>
    </xf>
    <xf numFmtId="0" fontId="11" fillId="9" borderId="12" xfId="0" applyFont="1" applyFill="1" applyBorder="1" applyAlignment="1">
      <alignment horizontal="center"/>
    </xf>
    <xf numFmtId="0" fontId="11" fillId="9" borderId="24" xfId="0" applyFont="1" applyFill="1" applyBorder="1" applyAlignment="1">
      <alignment horizontal="center"/>
    </xf>
    <xf numFmtId="0" fontId="11" fillId="9" borderId="13" xfId="0" applyFont="1" applyFill="1" applyBorder="1" applyAlignment="1">
      <alignment horizontal="center"/>
    </xf>
    <xf numFmtId="0" fontId="11" fillId="9" borderId="10" xfId="0" applyFont="1" applyFill="1" applyBorder="1" applyAlignment="1">
      <alignment horizontal="center"/>
    </xf>
    <xf numFmtId="0" fontId="15" fillId="4" borderId="2" xfId="0" applyFont="1" applyFill="1" applyBorder="1" applyAlignment="1">
      <alignment horizontal="center" vertical="center"/>
    </xf>
    <xf numFmtId="14" fontId="13" fillId="2" borderId="27" xfId="0" applyNumberFormat="1" applyFont="1" applyFill="1" applyBorder="1" applyAlignment="1">
      <alignment horizontal="center" vertical="center" wrapText="1"/>
    </xf>
    <xf numFmtId="14" fontId="13" fillId="2" borderId="29" xfId="0" applyNumberFormat="1" applyFont="1" applyFill="1" applyBorder="1" applyAlignment="1">
      <alignment horizontal="center" vertical="center" wrapText="1"/>
    </xf>
    <xf numFmtId="0" fontId="15" fillId="4" borderId="0" xfId="0" applyFont="1" applyFill="1" applyBorder="1" applyAlignment="1">
      <alignment vertical="center"/>
    </xf>
    <xf numFmtId="14" fontId="13" fillId="10" borderId="23" xfId="0" applyNumberFormat="1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13" fillId="13" borderId="23" xfId="0" applyFont="1" applyFill="1" applyBorder="1" applyAlignment="1">
      <alignment horizontal="center"/>
    </xf>
    <xf numFmtId="0" fontId="13" fillId="13" borderId="33" xfId="0" applyFont="1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3" fillId="6" borderId="13" xfId="0" applyFont="1" applyFill="1" applyBorder="1" applyAlignment="1">
      <alignment horizontal="center" vertical="center"/>
    </xf>
    <xf numFmtId="0" fontId="13" fillId="9" borderId="0" xfId="0" applyFont="1" applyFill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13" fillId="3" borderId="24" xfId="0" applyFont="1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13" fillId="13" borderId="34" xfId="0" applyFont="1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13" fillId="13" borderId="35" xfId="0" applyFont="1" applyFill="1" applyBorder="1" applyAlignment="1">
      <alignment horizontal="center"/>
    </xf>
    <xf numFmtId="0" fontId="0" fillId="9" borderId="24" xfId="0" applyFill="1" applyBorder="1"/>
    <xf numFmtId="0" fontId="5" fillId="9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9" borderId="24" xfId="0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13" fillId="10" borderId="23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3" fillId="9" borderId="13" xfId="0" applyFont="1" applyFill="1" applyBorder="1" applyAlignment="1">
      <alignment horizontal="center"/>
    </xf>
    <xf numFmtId="0" fontId="15" fillId="4" borderId="2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/>
    </xf>
    <xf numFmtId="0" fontId="13" fillId="12" borderId="1" xfId="0" applyFont="1" applyFill="1" applyBorder="1" applyAlignment="1">
      <alignment horizontal="center" vertical="center"/>
    </xf>
    <xf numFmtId="0" fontId="13" fillId="9" borderId="10" xfId="0" applyFont="1" applyFill="1" applyBorder="1" applyAlignment="1">
      <alignment horizontal="center"/>
    </xf>
    <xf numFmtId="0" fontId="13" fillId="9" borderId="12" xfId="0" applyFont="1" applyFill="1" applyBorder="1" applyAlignment="1">
      <alignment horizontal="center"/>
    </xf>
    <xf numFmtId="0" fontId="13" fillId="9" borderId="24" xfId="0" applyFont="1" applyFill="1" applyBorder="1" applyAlignment="1">
      <alignment horizontal="center"/>
    </xf>
    <xf numFmtId="0" fontId="13" fillId="12" borderId="23" xfId="0" applyFont="1" applyFill="1" applyBorder="1" applyAlignment="1">
      <alignment horizontal="center"/>
    </xf>
    <xf numFmtId="0" fontId="15" fillId="4" borderId="2" xfId="0" applyFont="1" applyFill="1" applyBorder="1" applyAlignment="1">
      <alignment horizontal="center" vertical="center"/>
    </xf>
    <xf numFmtId="0" fontId="13" fillId="12" borderId="33" xfId="0" applyFont="1" applyFill="1" applyBorder="1" applyAlignment="1">
      <alignment horizontal="center"/>
    </xf>
    <xf numFmtId="0" fontId="15" fillId="4" borderId="2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/>
    </xf>
    <xf numFmtId="0" fontId="13" fillId="2" borderId="1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3" fillId="9" borderId="11" xfId="0" applyFont="1" applyFill="1" applyBorder="1" applyAlignment="1">
      <alignment horizontal="center"/>
    </xf>
    <xf numFmtId="0" fontId="0" fillId="9" borderId="0" xfId="0" applyFill="1"/>
    <xf numFmtId="0" fontId="14" fillId="14" borderId="1" xfId="0" applyFont="1" applyFill="1" applyBorder="1" applyAlignment="1">
      <alignment horizontal="center"/>
    </xf>
    <xf numFmtId="0" fontId="13" fillId="9" borderId="1" xfId="0" applyFont="1" applyFill="1" applyBorder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13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0" fillId="0" borderId="1" xfId="0" applyBorder="1"/>
    <xf numFmtId="0" fontId="17" fillId="5" borderId="1" xfId="0" applyFont="1" applyFill="1" applyBorder="1" applyAlignment="1">
      <alignment horizontal="center" wrapText="1"/>
    </xf>
    <xf numFmtId="0" fontId="20" fillId="0" borderId="1" xfId="0" applyFont="1" applyBorder="1"/>
    <xf numFmtId="0" fontId="17" fillId="0" borderId="1" xfId="0" applyFont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13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13" fillId="15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vertical="center"/>
    </xf>
    <xf numFmtId="0" fontId="16" fillId="4" borderId="30" xfId="0" applyFont="1" applyFill="1" applyBorder="1" applyAlignment="1">
      <alignment vertical="center"/>
    </xf>
    <xf numFmtId="0" fontId="16" fillId="4" borderId="0" xfId="0" applyFont="1" applyFill="1" applyBorder="1" applyAlignment="1">
      <alignment vertical="center"/>
    </xf>
    <xf numFmtId="0" fontId="16" fillId="4" borderId="0" xfId="0" applyFont="1" applyFill="1" applyBorder="1" applyAlignment="1">
      <alignment vertical="center" wrapText="1"/>
    </xf>
    <xf numFmtId="0" fontId="17" fillId="0" borderId="1" xfId="0" applyFont="1" applyBorder="1" applyAlignment="1">
      <alignment horizontal="center" wrapText="1"/>
    </xf>
    <xf numFmtId="15" fontId="14" fillId="9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15" fontId="14" fillId="2" borderId="1" xfId="0" applyNumberFormat="1" applyFont="1" applyFill="1" applyBorder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wrapText="1"/>
    </xf>
    <xf numFmtId="0" fontId="17" fillId="3" borderId="1" xfId="0" applyFont="1" applyFill="1" applyBorder="1" applyAlignment="1">
      <alignment horizontal="center" wrapText="1"/>
    </xf>
    <xf numFmtId="0" fontId="13" fillId="3" borderId="0" xfId="0" applyFont="1" applyFill="1"/>
    <xf numFmtId="0" fontId="15" fillId="4" borderId="1" xfId="0" applyFont="1" applyFill="1" applyBorder="1" applyAlignment="1">
      <alignment vertical="center"/>
    </xf>
    <xf numFmtId="0" fontId="13" fillId="17" borderId="1" xfId="0" applyFont="1" applyFill="1" applyBorder="1" applyAlignment="1">
      <alignment horizontal="center"/>
    </xf>
    <xf numFmtId="0" fontId="13" fillId="18" borderId="1" xfId="0" applyFont="1" applyFill="1" applyBorder="1" applyAlignment="1">
      <alignment horizontal="center"/>
    </xf>
    <xf numFmtId="0" fontId="13" fillId="9" borderId="0" xfId="0" applyFont="1" applyFill="1"/>
    <xf numFmtId="0" fontId="13" fillId="19" borderId="1" xfId="0" applyFont="1" applyFill="1" applyBorder="1" applyAlignment="1">
      <alignment horizontal="center" vertical="center" wrapText="1"/>
    </xf>
    <xf numFmtId="0" fontId="17" fillId="9" borderId="0" xfId="0" applyFont="1" applyFill="1" applyBorder="1" applyAlignment="1">
      <alignment horizontal="center"/>
    </xf>
    <xf numFmtId="0" fontId="13" fillId="9" borderId="0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/>
    </xf>
    <xf numFmtId="0" fontId="13" fillId="7" borderId="12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 wrapText="1"/>
    </xf>
    <xf numFmtId="0" fontId="0" fillId="20" borderId="1" xfId="0" applyFill="1" applyBorder="1"/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/>
    </xf>
    <xf numFmtId="0" fontId="16" fillId="4" borderId="0" xfId="0" applyFont="1" applyFill="1" applyBorder="1" applyAlignment="1">
      <alignment horizontal="center" vertical="center"/>
    </xf>
    <xf numFmtId="0" fontId="13" fillId="20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vertical="center"/>
    </xf>
    <xf numFmtId="0" fontId="13" fillId="3" borderId="1" xfId="0" applyFont="1" applyFill="1" applyBorder="1" applyAlignment="1">
      <alignment horizontal="center" vertical="center" wrapText="1"/>
    </xf>
    <xf numFmtId="0" fontId="17" fillId="19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wrapText="1"/>
    </xf>
    <xf numFmtId="0" fontId="13" fillId="17" borderId="1" xfId="0" applyFont="1" applyFill="1" applyBorder="1" applyAlignment="1">
      <alignment horizontal="center" wrapText="1"/>
    </xf>
    <xf numFmtId="0" fontId="0" fillId="17" borderId="1" xfId="0" applyFill="1" applyBorder="1" applyAlignment="1">
      <alignment horizontal="center"/>
    </xf>
    <xf numFmtId="0" fontId="21" fillId="0" borderId="0" xfId="0" applyFont="1" applyBorder="1" applyAlignment="1">
      <alignment vertical="center"/>
    </xf>
    <xf numFmtId="0" fontId="16" fillId="16" borderId="1" xfId="0" applyFont="1" applyFill="1" applyBorder="1" applyAlignment="1">
      <alignment vertical="center"/>
    </xf>
    <xf numFmtId="0" fontId="16" fillId="9" borderId="1" xfId="0" applyFont="1" applyFill="1" applyBorder="1" applyAlignment="1">
      <alignment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14" fontId="13" fillId="17" borderId="1" xfId="0" applyNumberFormat="1" applyFont="1" applyFill="1" applyBorder="1" applyAlignment="1">
      <alignment horizontal="center" vertical="center" wrapText="1"/>
    </xf>
    <xf numFmtId="0" fontId="22" fillId="18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13" fillId="0" borderId="1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/>
    </xf>
    <xf numFmtId="0" fontId="13" fillId="9" borderId="10" xfId="0" applyFont="1" applyFill="1" applyBorder="1" applyAlignment="1">
      <alignment horizontal="center"/>
    </xf>
    <xf numFmtId="0" fontId="13" fillId="9" borderId="12" xfId="0" applyFont="1" applyFill="1" applyBorder="1" applyAlignment="1">
      <alignment horizontal="center"/>
    </xf>
    <xf numFmtId="0" fontId="14" fillId="9" borderId="10" xfId="0" applyFont="1" applyFill="1" applyBorder="1" applyAlignment="1">
      <alignment horizontal="center"/>
    </xf>
    <xf numFmtId="0" fontId="14" fillId="9" borderId="12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6" fillId="16" borderId="3" xfId="0" applyFont="1" applyFill="1" applyBorder="1" applyAlignment="1">
      <alignment horizontal="center" vertical="center"/>
    </xf>
    <xf numFmtId="0" fontId="16" fillId="16" borderId="4" xfId="0" applyFont="1" applyFill="1" applyBorder="1" applyAlignment="1">
      <alignment horizontal="center" vertical="center"/>
    </xf>
    <xf numFmtId="0" fontId="16" fillId="16" borderId="37" xfId="0" applyFont="1" applyFill="1" applyBorder="1" applyAlignment="1">
      <alignment horizontal="center" vertical="center"/>
    </xf>
    <xf numFmtId="0" fontId="16" fillId="16" borderId="2" xfId="0" applyFont="1" applyFill="1" applyBorder="1" applyAlignment="1">
      <alignment horizontal="center" vertical="center"/>
    </xf>
    <xf numFmtId="0" fontId="16" fillId="16" borderId="25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15" fontId="18" fillId="8" borderId="1" xfId="0" applyNumberFormat="1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/>
    </xf>
    <xf numFmtId="0" fontId="16" fillId="8" borderId="16" xfId="0" applyFont="1" applyFill="1" applyBorder="1" applyAlignment="1">
      <alignment horizontal="center" vertical="center"/>
    </xf>
    <xf numFmtId="0" fontId="16" fillId="8" borderId="17" xfId="0" applyFont="1" applyFill="1" applyBorder="1" applyAlignment="1">
      <alignment horizontal="center" vertical="center"/>
    </xf>
    <xf numFmtId="15" fontId="18" fillId="8" borderId="20" xfId="0" applyNumberFormat="1" applyFont="1" applyFill="1" applyBorder="1" applyAlignment="1">
      <alignment horizontal="center" vertical="center"/>
    </xf>
    <xf numFmtId="15" fontId="18" fillId="8" borderId="10" xfId="0" applyNumberFormat="1" applyFont="1" applyFill="1" applyBorder="1" applyAlignment="1">
      <alignment horizontal="center" vertical="center"/>
    </xf>
    <xf numFmtId="15" fontId="18" fillId="8" borderId="12" xfId="0" applyNumberFormat="1" applyFont="1" applyFill="1" applyBorder="1" applyAlignment="1">
      <alignment horizontal="center" vertical="center"/>
    </xf>
    <xf numFmtId="15" fontId="18" fillId="8" borderId="11" xfId="0" applyNumberFormat="1" applyFont="1" applyFill="1" applyBorder="1" applyAlignment="1">
      <alignment horizontal="center" vertical="center"/>
    </xf>
    <xf numFmtId="15" fontId="18" fillId="8" borderId="9" xfId="0" applyNumberFormat="1" applyFont="1" applyFill="1" applyBorder="1" applyAlignment="1">
      <alignment horizontal="center" vertical="center"/>
    </xf>
    <xf numFmtId="14" fontId="13" fillId="21" borderId="1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5" fontId="14" fillId="2" borderId="12" xfId="0" applyNumberFormat="1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/>
    </xf>
  </cellXfs>
  <cellStyles count="4">
    <cellStyle name="Normal" xfId="0" builtinId="0"/>
    <cellStyle name="Normal 2" xfId="2"/>
    <cellStyle name="Normal 2 2" xfId="3"/>
    <cellStyle name="Normal 3" xfId="1"/>
  </cellStyles>
  <dxfs count="2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3"/>
  <sheetViews>
    <sheetView zoomScaleNormal="100" workbookViewId="0">
      <pane xSplit="5" ySplit="2" topLeftCell="AD3" activePane="bottomRight" state="frozen"/>
      <selection pane="topRight" activeCell="F1" sqref="F1"/>
      <selection pane="bottomLeft" activeCell="A3" sqref="A3"/>
      <selection pane="bottomRight" activeCell="AD11" sqref="AD11"/>
    </sheetView>
  </sheetViews>
  <sheetFormatPr defaultColWidth="9" defaultRowHeight="15"/>
  <cols>
    <col min="1" max="1" width="9" style="2"/>
    <col min="2" max="2" width="33.5703125" style="2" customWidth="1"/>
    <col min="3" max="3" width="15" style="2" customWidth="1"/>
    <col min="4" max="4" width="17" style="2" bestFit="1" customWidth="1"/>
    <col min="5" max="5" width="9" style="2"/>
    <col min="6" max="6" width="11.140625" style="2" customWidth="1"/>
    <col min="7" max="7" width="10.42578125" style="2" bestFit="1" customWidth="1"/>
    <col min="8" max="45" width="11.140625" style="2" customWidth="1"/>
    <col min="46" max="46" width="9" style="2"/>
  </cols>
  <sheetData>
    <row r="1" spans="1:46" ht="30.75">
      <c r="A1" s="231" t="s">
        <v>66</v>
      </c>
      <c r="B1" s="231"/>
      <c r="C1" s="231"/>
      <c r="D1" s="231"/>
      <c r="E1" s="231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58"/>
    </row>
    <row r="2" spans="1:46" s="1" customFormat="1" ht="32.25" customHeight="1" thickBot="1">
      <c r="A2" s="5" t="s">
        <v>57</v>
      </c>
      <c r="B2" s="5" t="s">
        <v>56</v>
      </c>
      <c r="C2" s="5" t="s">
        <v>55</v>
      </c>
      <c r="D2" s="5" t="s">
        <v>54</v>
      </c>
      <c r="E2" s="17" t="s">
        <v>53</v>
      </c>
      <c r="F2" s="6">
        <v>45809</v>
      </c>
      <c r="G2" s="6">
        <v>45810</v>
      </c>
      <c r="H2" s="14" t="s">
        <v>63</v>
      </c>
      <c r="I2" s="6">
        <v>45811</v>
      </c>
      <c r="J2" s="6">
        <v>45812</v>
      </c>
      <c r="K2" s="6">
        <v>45813</v>
      </c>
      <c r="L2" s="44" t="s">
        <v>64</v>
      </c>
      <c r="M2" s="6">
        <v>45814</v>
      </c>
      <c r="N2" s="6">
        <v>45815</v>
      </c>
      <c r="O2" s="44" t="s">
        <v>65</v>
      </c>
      <c r="P2" s="6">
        <v>45816</v>
      </c>
      <c r="Q2" s="6">
        <v>45817</v>
      </c>
      <c r="R2" s="44" t="s">
        <v>70</v>
      </c>
      <c r="S2" s="6">
        <v>45818</v>
      </c>
      <c r="T2" s="6">
        <v>45819</v>
      </c>
      <c r="U2" s="6">
        <v>45820</v>
      </c>
      <c r="V2" s="44" t="s">
        <v>72</v>
      </c>
      <c r="W2" s="6">
        <v>45821</v>
      </c>
      <c r="X2" s="44" t="s">
        <v>73</v>
      </c>
      <c r="Y2" s="6">
        <v>45822</v>
      </c>
      <c r="Z2" s="6">
        <v>45823</v>
      </c>
      <c r="AA2" s="44" t="s">
        <v>75</v>
      </c>
      <c r="AB2" s="6">
        <v>45824</v>
      </c>
      <c r="AC2" s="6">
        <v>45825</v>
      </c>
      <c r="AD2" s="6">
        <v>45826</v>
      </c>
      <c r="AE2" s="6">
        <v>45827</v>
      </c>
      <c r="AF2" s="44" t="s">
        <v>83</v>
      </c>
      <c r="AG2" s="6">
        <v>45828</v>
      </c>
      <c r="AH2" s="6">
        <v>45829</v>
      </c>
      <c r="AI2" s="6">
        <v>45830</v>
      </c>
      <c r="AJ2" s="6">
        <v>45831</v>
      </c>
      <c r="AK2" s="6">
        <v>45832</v>
      </c>
      <c r="AL2" s="44" t="s">
        <v>107</v>
      </c>
      <c r="AM2" s="6">
        <v>45833</v>
      </c>
      <c r="AN2" s="6">
        <v>45834</v>
      </c>
      <c r="AO2" s="6">
        <v>45835</v>
      </c>
      <c r="AP2" s="44" t="s">
        <v>108</v>
      </c>
      <c r="AQ2" s="6">
        <v>45836</v>
      </c>
      <c r="AR2" s="6">
        <v>45837</v>
      </c>
      <c r="AS2" s="6">
        <v>45838</v>
      </c>
      <c r="AT2" s="5" t="s">
        <v>5</v>
      </c>
    </row>
    <row r="3" spans="1:46" ht="15.75" thickBot="1">
      <c r="A3" s="18">
        <v>1</v>
      </c>
      <c r="B3" s="18" t="s">
        <v>32</v>
      </c>
      <c r="C3" s="18" t="s">
        <v>0</v>
      </c>
      <c r="D3" s="18" t="s">
        <v>1</v>
      </c>
      <c r="E3" s="18">
        <v>2600</v>
      </c>
      <c r="F3" s="19"/>
      <c r="G3" s="19"/>
      <c r="H3" s="19"/>
      <c r="I3" s="19"/>
      <c r="J3" s="19">
        <v>100</v>
      </c>
      <c r="K3" s="39">
        <f>31*25</f>
        <v>775</v>
      </c>
      <c r="L3" s="43">
        <v>5000</v>
      </c>
      <c r="M3" s="45">
        <f>57*25</f>
        <v>1425</v>
      </c>
      <c r="N3" s="19">
        <v>675</v>
      </c>
      <c r="O3" s="19"/>
      <c r="P3" s="19"/>
      <c r="Q3" s="19">
        <v>1250</v>
      </c>
      <c r="R3" s="19"/>
      <c r="S3" s="19">
        <v>1300</v>
      </c>
      <c r="T3" s="19">
        <v>1125</v>
      </c>
      <c r="U3" s="19">
        <v>800</v>
      </c>
      <c r="V3" s="19">
        <v>5000</v>
      </c>
      <c r="W3" s="19">
        <v>800</v>
      </c>
      <c r="X3" s="19"/>
      <c r="Y3" s="19">
        <v>800</v>
      </c>
      <c r="Z3" s="19"/>
      <c r="AA3" s="19"/>
      <c r="AB3" s="19">
        <v>800</v>
      </c>
      <c r="AC3" s="19">
        <v>800</v>
      </c>
      <c r="AD3" s="19">
        <v>800</v>
      </c>
      <c r="AE3" s="19">
        <v>750</v>
      </c>
      <c r="AF3" s="43">
        <v>5000</v>
      </c>
      <c r="AG3" s="19">
        <v>1250</v>
      </c>
      <c r="AH3" s="19">
        <v>625</v>
      </c>
      <c r="AI3" s="19"/>
      <c r="AJ3" s="60"/>
      <c r="AK3" s="19">
        <v>600</v>
      </c>
      <c r="AL3" s="19"/>
      <c r="AM3" s="19">
        <v>350</v>
      </c>
      <c r="AN3" s="19">
        <v>375</v>
      </c>
      <c r="AO3" s="19"/>
      <c r="AP3" s="19"/>
      <c r="AQ3" s="19"/>
      <c r="AR3" s="19"/>
      <c r="AS3" s="19"/>
      <c r="AT3" s="7">
        <f>E3-F3-G3+H3-I3-J3-K3+L3-M3-N3+O3-P3-Q3+R3-S3-T3-U3+V3-W3+X3-Y3-Z3+AA3-AB3-AC3-AD3-AE3+AF3-AG3-AH3-AI3-AJ3-AK3+AL3-AM3-AN3-AO3+AP3-AQ3-AR3-AS3</f>
        <v>2200</v>
      </c>
    </row>
    <row r="4" spans="1:46" ht="15.75" thickBot="1">
      <c r="A4" s="18">
        <v>2</v>
      </c>
      <c r="B4" s="18" t="s">
        <v>26</v>
      </c>
      <c r="C4" s="18" t="s">
        <v>0</v>
      </c>
      <c r="D4" s="18" t="s">
        <v>1</v>
      </c>
      <c r="E4" s="18">
        <v>3375</v>
      </c>
      <c r="F4" s="19"/>
      <c r="G4" s="19">
        <v>400</v>
      </c>
      <c r="H4" s="19"/>
      <c r="I4" s="19">
        <v>250</v>
      </c>
      <c r="J4" s="19">
        <v>125</v>
      </c>
      <c r="K4" s="19">
        <v>125</v>
      </c>
      <c r="L4" s="42"/>
      <c r="M4" s="19">
        <v>125</v>
      </c>
      <c r="N4" s="19">
        <v>325</v>
      </c>
      <c r="O4" s="19"/>
      <c r="P4" s="19"/>
      <c r="Q4" s="19">
        <f>12*25</f>
        <v>300</v>
      </c>
      <c r="R4" s="19"/>
      <c r="S4" s="19">
        <f>16*25</f>
        <v>400</v>
      </c>
      <c r="T4" s="19">
        <v>525</v>
      </c>
      <c r="U4" s="19">
        <v>650</v>
      </c>
      <c r="V4" s="19"/>
      <c r="W4" s="19">
        <v>150</v>
      </c>
      <c r="X4" s="43">
        <v>5000</v>
      </c>
      <c r="Y4" s="19">
        <v>150</v>
      </c>
      <c r="Z4" s="19"/>
      <c r="AA4" s="19"/>
      <c r="AB4" s="19">
        <v>625</v>
      </c>
      <c r="AC4" s="19">
        <v>275</v>
      </c>
      <c r="AD4" s="19">
        <v>625</v>
      </c>
      <c r="AE4" s="19">
        <v>625</v>
      </c>
      <c r="AF4" s="19"/>
      <c r="AG4" s="19">
        <v>575</v>
      </c>
      <c r="AH4" s="19">
        <v>575</v>
      </c>
      <c r="AI4" s="19"/>
      <c r="AJ4" s="60">
        <v>600</v>
      </c>
      <c r="AK4" s="19">
        <v>225</v>
      </c>
      <c r="AL4" s="43">
        <v>5000</v>
      </c>
      <c r="AM4" s="19">
        <v>350</v>
      </c>
      <c r="AN4" s="19">
        <v>375</v>
      </c>
      <c r="AO4" s="19">
        <v>375</v>
      </c>
      <c r="AP4" s="19"/>
      <c r="AQ4" s="19">
        <v>750</v>
      </c>
      <c r="AR4" s="19">
        <v>250</v>
      </c>
      <c r="AS4" s="19">
        <v>550</v>
      </c>
      <c r="AT4" s="7">
        <f t="shared" ref="AT4:AT16" si="0">E4-F4-G4+H4-I4-J4-K4+L4-M4-N4+O4-P4-Q4+R4-S4-T4-U4+V4-W4+X4-Y4-Z4+AA4-AB4-AC4-AD4-AE4+AF4-AG4-AH4-AI4-AJ4-AK4+AL4-AM4-AN4-AO4+AP4-AQ4-AR4-AS4</f>
        <v>3075</v>
      </c>
    </row>
    <row r="5" spans="1:46" ht="15.75" thickBot="1">
      <c r="A5" s="18">
        <v>3</v>
      </c>
      <c r="B5" s="18" t="s">
        <v>27</v>
      </c>
      <c r="C5" s="18" t="s">
        <v>0</v>
      </c>
      <c r="D5" s="18" t="s">
        <v>1</v>
      </c>
      <c r="E5" s="18">
        <f>173*25</f>
        <v>4325</v>
      </c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60"/>
      <c r="AK5" s="19"/>
      <c r="AL5" s="19"/>
      <c r="AM5" s="19"/>
      <c r="AN5" s="19"/>
      <c r="AO5" s="19"/>
      <c r="AP5" s="19"/>
      <c r="AQ5" s="19"/>
      <c r="AR5" s="19"/>
      <c r="AS5" s="19"/>
      <c r="AT5" s="7">
        <f t="shared" si="0"/>
        <v>4325</v>
      </c>
    </row>
    <row r="6" spans="1:46" ht="15.75" thickBot="1">
      <c r="A6" s="18">
        <v>4</v>
      </c>
      <c r="B6" s="18" t="s">
        <v>28</v>
      </c>
      <c r="C6" s="18" t="s">
        <v>0</v>
      </c>
      <c r="D6" s="18" t="s">
        <v>1</v>
      </c>
      <c r="E6" s="18">
        <v>400</v>
      </c>
      <c r="F6" s="19">
        <f>22*25</f>
        <v>550</v>
      </c>
      <c r="G6" s="19">
        <v>575</v>
      </c>
      <c r="H6" s="19"/>
      <c r="I6" s="19">
        <v>125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43">
        <v>5000</v>
      </c>
      <c r="AB6" s="19">
        <v>100</v>
      </c>
      <c r="AC6" s="19">
        <v>275</v>
      </c>
      <c r="AD6" s="19">
        <v>400</v>
      </c>
      <c r="AE6" s="19">
        <v>425</v>
      </c>
      <c r="AF6" s="19"/>
      <c r="AG6" s="19">
        <v>250</v>
      </c>
      <c r="AH6" s="19"/>
      <c r="AI6" s="19"/>
      <c r="AJ6" s="60">
        <v>750</v>
      </c>
      <c r="AK6" s="19">
        <v>225</v>
      </c>
      <c r="AL6" s="19"/>
      <c r="AM6" s="19">
        <v>700</v>
      </c>
      <c r="AN6" s="19">
        <v>700</v>
      </c>
      <c r="AO6" s="19">
        <v>325</v>
      </c>
      <c r="AP6" s="19"/>
      <c r="AQ6" s="19"/>
      <c r="AR6" s="19"/>
      <c r="AS6" s="19"/>
      <c r="AT6" s="7">
        <f t="shared" si="0"/>
        <v>0</v>
      </c>
    </row>
    <row r="7" spans="1:46">
      <c r="A7" s="18">
        <v>5</v>
      </c>
      <c r="B7" s="18" t="s">
        <v>106</v>
      </c>
      <c r="C7" s="18" t="s">
        <v>2</v>
      </c>
      <c r="D7" s="18" t="s">
        <v>1</v>
      </c>
      <c r="E7" s="18">
        <v>575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60"/>
      <c r="AK7" s="19"/>
      <c r="AL7" s="19"/>
      <c r="AM7" s="19"/>
      <c r="AN7" s="19"/>
      <c r="AO7" s="19"/>
      <c r="AP7" s="19"/>
      <c r="AQ7" s="19"/>
      <c r="AR7" s="19"/>
      <c r="AS7" s="19"/>
      <c r="AT7" s="7">
        <f t="shared" si="0"/>
        <v>575</v>
      </c>
    </row>
    <row r="8" spans="1:46">
      <c r="A8" s="18">
        <v>6</v>
      </c>
      <c r="B8" s="18" t="s">
        <v>30</v>
      </c>
      <c r="C8" s="18" t="s">
        <v>2</v>
      </c>
      <c r="D8" s="18" t="s">
        <v>1</v>
      </c>
      <c r="E8" s="18">
        <v>2825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60"/>
      <c r="AK8" s="19"/>
      <c r="AL8" s="19"/>
      <c r="AM8" s="19"/>
      <c r="AN8" s="19"/>
      <c r="AO8" s="19"/>
      <c r="AP8" s="19"/>
      <c r="AQ8" s="19"/>
      <c r="AR8" s="19"/>
      <c r="AS8" s="19"/>
      <c r="AT8" s="7">
        <f t="shared" si="0"/>
        <v>2825</v>
      </c>
    </row>
    <row r="9" spans="1:46" ht="15.75" thickBot="1">
      <c r="A9" s="18">
        <v>7</v>
      </c>
      <c r="B9" s="18" t="s">
        <v>31</v>
      </c>
      <c r="C9" s="18" t="s">
        <v>2</v>
      </c>
      <c r="D9" s="18" t="s">
        <v>1</v>
      </c>
      <c r="E9" s="18">
        <f>36*25</f>
        <v>900</v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60"/>
      <c r="AK9" s="19"/>
      <c r="AL9" s="19"/>
      <c r="AM9" s="19"/>
      <c r="AN9" s="19"/>
      <c r="AO9" s="19"/>
      <c r="AP9" s="19"/>
      <c r="AQ9" s="19"/>
      <c r="AR9" s="19"/>
      <c r="AS9" s="19"/>
      <c r="AT9" s="7">
        <f t="shared" si="0"/>
        <v>900</v>
      </c>
    </row>
    <row r="10" spans="1:46" ht="15.75" thickBot="1">
      <c r="A10" s="18">
        <v>8</v>
      </c>
      <c r="B10" s="18" t="s">
        <v>33</v>
      </c>
      <c r="C10" s="18" t="s">
        <v>2</v>
      </c>
      <c r="D10" s="18" t="s">
        <v>1</v>
      </c>
      <c r="E10" s="18">
        <v>2400</v>
      </c>
      <c r="F10" s="19">
        <f>16*25</f>
        <v>400</v>
      </c>
      <c r="G10" s="19">
        <v>400</v>
      </c>
      <c r="H10" s="41"/>
      <c r="I10" s="19">
        <v>300</v>
      </c>
      <c r="J10" s="19">
        <v>575</v>
      </c>
      <c r="K10" s="19">
        <f>6*25</f>
        <v>150</v>
      </c>
      <c r="L10" s="43">
        <v>2500</v>
      </c>
      <c r="M10" s="19"/>
      <c r="N10" s="19">
        <v>50</v>
      </c>
      <c r="O10" s="43">
        <v>2500</v>
      </c>
      <c r="P10" s="19"/>
      <c r="Q10" s="19">
        <v>200</v>
      </c>
      <c r="R10" s="19"/>
      <c r="S10" s="19"/>
      <c r="T10" s="19">
        <v>150</v>
      </c>
      <c r="U10" s="19">
        <v>425</v>
      </c>
      <c r="V10" s="19"/>
      <c r="W10" s="19">
        <v>475</v>
      </c>
      <c r="X10" s="19"/>
      <c r="Y10" s="19"/>
      <c r="Z10" s="19"/>
      <c r="AA10" s="19"/>
      <c r="AB10" s="19">
        <v>175</v>
      </c>
      <c r="AC10" s="19">
        <v>350</v>
      </c>
      <c r="AD10" s="19">
        <v>125</v>
      </c>
      <c r="AE10" s="19">
        <v>75</v>
      </c>
      <c r="AF10" s="19"/>
      <c r="AG10" s="19">
        <v>200</v>
      </c>
      <c r="AH10" s="19">
        <v>300</v>
      </c>
      <c r="AI10" s="19"/>
      <c r="AJ10" s="60">
        <v>425</v>
      </c>
      <c r="AK10" s="19">
        <v>600</v>
      </c>
      <c r="AL10" s="43">
        <v>5000</v>
      </c>
      <c r="AM10" s="19">
        <v>550</v>
      </c>
      <c r="AN10" s="19">
        <v>425</v>
      </c>
      <c r="AO10" s="19">
        <v>825</v>
      </c>
      <c r="AP10" s="19"/>
      <c r="AQ10" s="19">
        <v>600</v>
      </c>
      <c r="AR10" s="19">
        <v>175</v>
      </c>
      <c r="AS10" s="19">
        <v>925</v>
      </c>
      <c r="AT10" s="7">
        <f t="shared" si="0"/>
        <v>3525</v>
      </c>
    </row>
    <row r="11" spans="1:46" ht="15.75" thickBot="1">
      <c r="A11" s="18">
        <v>9</v>
      </c>
      <c r="B11" s="18" t="s">
        <v>34</v>
      </c>
      <c r="C11" s="18" t="s">
        <v>2</v>
      </c>
      <c r="D11" s="18" t="s">
        <v>1</v>
      </c>
      <c r="E11" s="18">
        <v>0</v>
      </c>
      <c r="F11" s="19"/>
      <c r="G11" s="39"/>
      <c r="H11" s="43">
        <v>1750</v>
      </c>
      <c r="I11" s="40">
        <v>500</v>
      </c>
      <c r="J11" s="19"/>
      <c r="K11" s="19">
        <v>300</v>
      </c>
      <c r="L11" s="19"/>
      <c r="M11" s="19">
        <f>20*25</f>
        <v>500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>
        <v>400</v>
      </c>
      <c r="Z11" s="19"/>
      <c r="AA11" s="19"/>
      <c r="AB11" s="19">
        <v>50</v>
      </c>
      <c r="AC11" s="19"/>
      <c r="AD11" s="19"/>
      <c r="AE11" s="19"/>
      <c r="AF11" s="19"/>
      <c r="AG11" s="19"/>
      <c r="AH11" s="19"/>
      <c r="AI11" s="19"/>
      <c r="AJ11" s="60"/>
      <c r="AK11" s="19"/>
      <c r="AL11" s="19"/>
      <c r="AM11" s="19"/>
      <c r="AN11" s="19"/>
      <c r="AO11" s="19"/>
      <c r="AP11" s="43">
        <v>2500</v>
      </c>
      <c r="AQ11" s="19">
        <v>200</v>
      </c>
      <c r="AR11" s="19">
        <v>200</v>
      </c>
      <c r="AS11" s="19">
        <v>250</v>
      </c>
      <c r="AT11" s="7">
        <f t="shared" si="0"/>
        <v>1850</v>
      </c>
    </row>
    <row r="12" spans="1:46" ht="15.75" thickBot="1">
      <c r="A12" s="18">
        <v>10</v>
      </c>
      <c r="B12" s="18" t="s">
        <v>74</v>
      </c>
      <c r="C12" s="18" t="s">
        <v>2</v>
      </c>
      <c r="D12" s="18" t="s">
        <v>1</v>
      </c>
      <c r="E12" s="18">
        <v>0</v>
      </c>
      <c r="F12" s="19"/>
      <c r="G12" s="39"/>
      <c r="H12" s="19"/>
      <c r="I12" s="40"/>
      <c r="J12" s="19"/>
      <c r="K12" s="19"/>
      <c r="L12" s="19"/>
      <c r="M12" s="19"/>
      <c r="N12" s="19"/>
      <c r="O12" s="19"/>
      <c r="P12" s="19"/>
      <c r="Q12" s="19"/>
      <c r="R12" s="56"/>
      <c r="S12" s="19"/>
      <c r="T12" s="19"/>
      <c r="U12" s="19"/>
      <c r="V12" s="19"/>
      <c r="W12" s="19"/>
      <c r="X12" s="43">
        <v>2000</v>
      </c>
      <c r="Y12" s="19">
        <v>300</v>
      </c>
      <c r="Z12" s="19"/>
      <c r="AA12" s="19"/>
      <c r="AB12" s="19">
        <v>200</v>
      </c>
      <c r="AC12" s="19">
        <v>200</v>
      </c>
      <c r="AD12" s="19">
        <v>325</v>
      </c>
      <c r="AE12" s="19">
        <v>100</v>
      </c>
      <c r="AF12" s="19"/>
      <c r="AG12" s="19">
        <v>225</v>
      </c>
      <c r="AH12" s="19">
        <v>150</v>
      </c>
      <c r="AI12" s="19"/>
      <c r="AJ12" s="60"/>
      <c r="AK12" s="19"/>
      <c r="AL12" s="19"/>
      <c r="AM12" s="19"/>
      <c r="AN12" s="19"/>
      <c r="AO12" s="19">
        <v>300</v>
      </c>
      <c r="AP12" s="19"/>
      <c r="AQ12" s="19">
        <v>200</v>
      </c>
      <c r="AR12" s="19"/>
      <c r="AS12" s="19"/>
      <c r="AT12" s="7">
        <f t="shared" si="0"/>
        <v>0</v>
      </c>
    </row>
    <row r="13" spans="1:46" ht="15.75" thickBot="1">
      <c r="A13" s="18">
        <v>11</v>
      </c>
      <c r="B13" s="18" t="s">
        <v>35</v>
      </c>
      <c r="C13" s="18" t="s">
        <v>3</v>
      </c>
      <c r="D13" s="18" t="s">
        <v>1</v>
      </c>
      <c r="E13" s="18">
        <v>3000</v>
      </c>
      <c r="F13" s="19"/>
      <c r="G13" s="19">
        <v>450</v>
      </c>
      <c r="H13" s="42"/>
      <c r="I13" s="19">
        <v>500</v>
      </c>
      <c r="J13" s="19">
        <v>500</v>
      </c>
      <c r="K13" s="19">
        <v>250</v>
      </c>
      <c r="L13" s="19"/>
      <c r="M13" s="19">
        <v>550</v>
      </c>
      <c r="N13" s="19">
        <v>500</v>
      </c>
      <c r="O13" s="19"/>
      <c r="P13" s="19"/>
      <c r="Q13" s="19">
        <v>750</v>
      </c>
      <c r="R13" s="43">
        <f>200*25</f>
        <v>5000</v>
      </c>
      <c r="S13" s="19">
        <v>675</v>
      </c>
      <c r="T13" s="19">
        <v>550</v>
      </c>
      <c r="U13" s="19">
        <v>550</v>
      </c>
      <c r="V13" s="19"/>
      <c r="W13" s="19">
        <v>575</v>
      </c>
      <c r="X13" s="19"/>
      <c r="Y13" s="19">
        <v>525</v>
      </c>
      <c r="Z13" s="19"/>
      <c r="AA13" s="19"/>
      <c r="AB13" s="19">
        <v>175</v>
      </c>
      <c r="AC13" s="19">
        <v>125</v>
      </c>
      <c r="AD13" s="19">
        <v>250</v>
      </c>
      <c r="AE13" s="19">
        <v>525</v>
      </c>
      <c r="AF13" s="43">
        <v>5000</v>
      </c>
      <c r="AG13" s="19">
        <v>500</v>
      </c>
      <c r="AH13" s="19">
        <v>475</v>
      </c>
      <c r="AI13" s="19"/>
      <c r="AJ13" s="60">
        <v>450</v>
      </c>
      <c r="AK13" s="19">
        <v>475</v>
      </c>
      <c r="AL13" s="19"/>
      <c r="AM13" s="19">
        <v>625</v>
      </c>
      <c r="AN13" s="19">
        <v>900</v>
      </c>
      <c r="AO13" s="19">
        <v>175</v>
      </c>
      <c r="AP13" s="19"/>
      <c r="AQ13" s="19">
        <v>350</v>
      </c>
      <c r="AR13" s="19">
        <v>150</v>
      </c>
      <c r="AS13" s="19">
        <v>225</v>
      </c>
      <c r="AT13" s="7">
        <f t="shared" si="0"/>
        <v>1225</v>
      </c>
    </row>
    <row r="14" spans="1:46">
      <c r="A14" s="18">
        <v>12</v>
      </c>
      <c r="B14" s="18" t="s">
        <v>36</v>
      </c>
      <c r="C14" s="18" t="s">
        <v>2</v>
      </c>
      <c r="D14" s="18" t="s">
        <v>1</v>
      </c>
      <c r="E14" s="18">
        <v>150</v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60"/>
      <c r="AK14" s="19"/>
      <c r="AL14" s="19"/>
      <c r="AM14" s="19"/>
      <c r="AN14" s="19"/>
      <c r="AO14" s="19"/>
      <c r="AP14" s="19"/>
      <c r="AQ14" s="19"/>
      <c r="AR14" s="19"/>
      <c r="AS14" s="19"/>
      <c r="AT14" s="7">
        <f t="shared" si="0"/>
        <v>150</v>
      </c>
    </row>
    <row r="15" spans="1:46">
      <c r="A15" s="18">
        <v>13</v>
      </c>
      <c r="B15" s="18" t="s">
        <v>52</v>
      </c>
      <c r="C15" s="18" t="s">
        <v>37</v>
      </c>
      <c r="D15" s="18" t="s">
        <v>1</v>
      </c>
      <c r="E15" s="18">
        <v>350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60"/>
      <c r="AK15" s="19"/>
      <c r="AL15" s="19"/>
      <c r="AM15" s="19"/>
      <c r="AN15" s="19"/>
      <c r="AO15" s="19"/>
      <c r="AP15" s="19"/>
      <c r="AQ15" s="19"/>
      <c r="AR15" s="19"/>
      <c r="AS15" s="19"/>
      <c r="AT15" s="7">
        <f t="shared" si="0"/>
        <v>350</v>
      </c>
    </row>
    <row r="16" spans="1:46">
      <c r="A16" s="18">
        <v>14</v>
      </c>
      <c r="B16" s="18" t="s">
        <v>38</v>
      </c>
      <c r="C16" s="18" t="s">
        <v>6</v>
      </c>
      <c r="D16" s="18" t="s">
        <v>1</v>
      </c>
      <c r="E16" s="18">
        <f>110*25</f>
        <v>2750</v>
      </c>
      <c r="F16" s="19"/>
      <c r="G16" s="19">
        <v>700</v>
      </c>
      <c r="H16" s="19"/>
      <c r="I16" s="19">
        <v>125</v>
      </c>
      <c r="J16" s="19"/>
      <c r="K16" s="19">
        <f>17*25</f>
        <v>425</v>
      </c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>
        <v>150</v>
      </c>
      <c r="Z16" s="19"/>
      <c r="AA16" s="19"/>
      <c r="AB16" s="19"/>
      <c r="AC16" s="19"/>
      <c r="AD16" s="19"/>
      <c r="AE16" s="19"/>
      <c r="AF16" s="19"/>
      <c r="AG16" s="19"/>
      <c r="AH16" s="19">
        <v>800</v>
      </c>
      <c r="AI16" s="19"/>
      <c r="AJ16" s="60">
        <v>550</v>
      </c>
      <c r="AK16" s="19"/>
      <c r="AL16" s="19"/>
      <c r="AM16" s="19"/>
      <c r="AN16" s="19"/>
      <c r="AO16" s="19"/>
      <c r="AP16" s="19"/>
      <c r="AQ16" s="19"/>
      <c r="AR16" s="19"/>
      <c r="AS16" s="19"/>
      <c r="AT16" s="7">
        <f t="shared" si="0"/>
        <v>0</v>
      </c>
    </row>
    <row r="17" spans="1:46" ht="15.75">
      <c r="A17" s="228"/>
      <c r="B17" s="229"/>
      <c r="C17" s="230"/>
      <c r="D17" s="16" t="s">
        <v>51</v>
      </c>
      <c r="E17" s="15">
        <f>SUM(E3:E16)</f>
        <v>23650</v>
      </c>
      <c r="F17" s="15">
        <f>SUM(F3:F16)</f>
        <v>950</v>
      </c>
      <c r="G17" s="15">
        <f t="shared" ref="G17:AS17" si="1">SUM(G3:G16)</f>
        <v>2525</v>
      </c>
      <c r="H17" s="15"/>
      <c r="I17" s="15">
        <f t="shared" si="1"/>
        <v>1800</v>
      </c>
      <c r="J17" s="15">
        <f t="shared" si="1"/>
        <v>1300</v>
      </c>
      <c r="K17" s="15">
        <f t="shared" si="1"/>
        <v>2025</v>
      </c>
      <c r="L17" s="15"/>
      <c r="M17" s="15">
        <f t="shared" si="1"/>
        <v>2600</v>
      </c>
      <c r="N17" s="15">
        <f t="shared" si="1"/>
        <v>1550</v>
      </c>
      <c r="O17" s="15"/>
      <c r="P17" s="15">
        <f t="shared" si="1"/>
        <v>0</v>
      </c>
      <c r="Q17" s="15">
        <f t="shared" si="1"/>
        <v>2500</v>
      </c>
      <c r="R17" s="15"/>
      <c r="S17" s="15">
        <f t="shared" si="1"/>
        <v>2375</v>
      </c>
      <c r="T17" s="15">
        <f t="shared" si="1"/>
        <v>2350</v>
      </c>
      <c r="U17" s="15">
        <f t="shared" si="1"/>
        <v>2425</v>
      </c>
      <c r="V17" s="15">
        <f t="shared" si="1"/>
        <v>5000</v>
      </c>
      <c r="W17" s="15">
        <f t="shared" si="1"/>
        <v>2000</v>
      </c>
      <c r="X17" s="15"/>
      <c r="Y17" s="15">
        <f t="shared" si="1"/>
        <v>2325</v>
      </c>
      <c r="Z17" s="15">
        <f t="shared" si="1"/>
        <v>0</v>
      </c>
      <c r="AA17" s="15"/>
      <c r="AB17" s="15">
        <f t="shared" si="1"/>
        <v>2125</v>
      </c>
      <c r="AC17" s="15">
        <f t="shared" si="1"/>
        <v>2025</v>
      </c>
      <c r="AD17" s="15">
        <f t="shared" si="1"/>
        <v>2525</v>
      </c>
      <c r="AE17" s="15">
        <f t="shared" si="1"/>
        <v>2500</v>
      </c>
      <c r="AF17" s="15"/>
      <c r="AG17" s="15">
        <f t="shared" si="1"/>
        <v>3000</v>
      </c>
      <c r="AH17" s="15">
        <f t="shared" si="1"/>
        <v>2925</v>
      </c>
      <c r="AI17" s="15">
        <f t="shared" si="1"/>
        <v>0</v>
      </c>
      <c r="AJ17" s="15">
        <f t="shared" si="1"/>
        <v>2775</v>
      </c>
      <c r="AK17" s="15">
        <f t="shared" si="1"/>
        <v>2125</v>
      </c>
      <c r="AL17" s="15"/>
      <c r="AM17" s="15">
        <f t="shared" si="1"/>
        <v>2575</v>
      </c>
      <c r="AN17" s="15">
        <f t="shared" si="1"/>
        <v>2775</v>
      </c>
      <c r="AO17" s="15">
        <f t="shared" si="1"/>
        <v>2000</v>
      </c>
      <c r="AP17" s="15"/>
      <c r="AQ17" s="15">
        <f t="shared" si="1"/>
        <v>2100</v>
      </c>
      <c r="AR17" s="15">
        <f t="shared" si="1"/>
        <v>775</v>
      </c>
      <c r="AS17" s="15">
        <f t="shared" si="1"/>
        <v>1950</v>
      </c>
      <c r="AT17" s="15">
        <f>SUM(F17:AS17)</f>
        <v>63900</v>
      </c>
    </row>
    <row r="18" spans="1:46" ht="15.75">
      <c r="A18" s="21"/>
      <c r="B18" s="21"/>
      <c r="C18" s="21"/>
      <c r="D18" s="54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</row>
    <row r="19" spans="1:46" ht="15.75">
      <c r="A19" s="51"/>
      <c r="B19" s="51" t="s">
        <v>8</v>
      </c>
      <c r="C19" s="51" t="s">
        <v>67</v>
      </c>
      <c r="D19" s="51" t="s">
        <v>68</v>
      </c>
    </row>
    <row r="20" spans="1:46">
      <c r="A20" s="18">
        <v>1</v>
      </c>
      <c r="B20" s="18" t="s">
        <v>32</v>
      </c>
      <c r="C20" s="18">
        <f>AT3</f>
        <v>2200</v>
      </c>
      <c r="D20" s="50">
        <v>1000</v>
      </c>
    </row>
    <row r="21" spans="1:46">
      <c r="A21" s="18">
        <v>2</v>
      </c>
      <c r="B21" s="18" t="s">
        <v>26</v>
      </c>
      <c r="C21" s="18">
        <f t="shared" ref="C21:C33" si="2">AT4</f>
        <v>3075</v>
      </c>
      <c r="D21" s="50">
        <v>1000</v>
      </c>
    </row>
    <row r="22" spans="1:46">
      <c r="A22" s="18">
        <v>3</v>
      </c>
      <c r="B22" s="18" t="s">
        <v>27</v>
      </c>
      <c r="C22" s="18">
        <f t="shared" si="2"/>
        <v>4325</v>
      </c>
      <c r="D22" s="50">
        <v>1000</v>
      </c>
      <c r="G22" s="53"/>
      <c r="H22" s="53"/>
    </row>
    <row r="23" spans="1:46">
      <c r="A23" s="18">
        <v>4</v>
      </c>
      <c r="B23" s="18" t="s">
        <v>28</v>
      </c>
      <c r="C23" s="18">
        <f t="shared" si="2"/>
        <v>0</v>
      </c>
      <c r="D23" s="50">
        <v>1500</v>
      </c>
      <c r="G23" s="53"/>
      <c r="H23" s="53"/>
      <c r="I23" s="53"/>
      <c r="J23" s="53"/>
    </row>
    <row r="24" spans="1:46">
      <c r="A24" s="18">
        <v>5</v>
      </c>
      <c r="B24" s="18" t="s">
        <v>29</v>
      </c>
      <c r="C24" s="18">
        <f t="shared" si="2"/>
        <v>575</v>
      </c>
      <c r="D24" s="50">
        <v>500</v>
      </c>
      <c r="G24" s="53"/>
      <c r="H24" s="53"/>
      <c r="I24" s="53"/>
      <c r="J24" s="52"/>
    </row>
    <row r="25" spans="1:46">
      <c r="A25" s="18">
        <v>6</v>
      </c>
      <c r="B25" s="18" t="s">
        <v>30</v>
      </c>
      <c r="C25" s="18">
        <f t="shared" si="2"/>
        <v>2825</v>
      </c>
      <c r="D25" s="50">
        <v>500</v>
      </c>
      <c r="G25" s="53"/>
      <c r="H25" s="53"/>
      <c r="I25" s="52"/>
      <c r="J25" s="52"/>
    </row>
    <row r="26" spans="1:46">
      <c r="A26" s="18">
        <v>7</v>
      </c>
      <c r="B26" s="18" t="s">
        <v>31</v>
      </c>
      <c r="C26" s="18">
        <f t="shared" si="2"/>
        <v>900</v>
      </c>
      <c r="D26" s="50">
        <v>200</v>
      </c>
      <c r="G26" s="53"/>
      <c r="H26" s="53"/>
    </row>
    <row r="27" spans="1:46">
      <c r="A27" s="18">
        <v>8</v>
      </c>
      <c r="B27" s="18" t="s">
        <v>33</v>
      </c>
      <c r="C27" s="18">
        <f t="shared" si="2"/>
        <v>3525</v>
      </c>
      <c r="D27" s="50">
        <v>500</v>
      </c>
    </row>
    <row r="28" spans="1:46">
      <c r="A28" s="18">
        <v>9</v>
      </c>
      <c r="B28" s="18" t="s">
        <v>34</v>
      </c>
      <c r="C28" s="18">
        <f t="shared" si="2"/>
        <v>1850</v>
      </c>
      <c r="D28" s="50">
        <v>1000</v>
      </c>
    </row>
    <row r="29" spans="1:46">
      <c r="A29" s="18">
        <v>10</v>
      </c>
      <c r="B29" s="18" t="s">
        <v>74</v>
      </c>
      <c r="C29" s="18">
        <f t="shared" si="2"/>
        <v>0</v>
      </c>
      <c r="D29" s="50">
        <v>1000</v>
      </c>
    </row>
    <row r="30" spans="1:46">
      <c r="A30" s="18">
        <v>11</v>
      </c>
      <c r="B30" s="18" t="s">
        <v>35</v>
      </c>
      <c r="C30" s="18">
        <f t="shared" si="2"/>
        <v>1225</v>
      </c>
      <c r="D30" s="50">
        <v>1000</v>
      </c>
    </row>
    <row r="31" spans="1:46">
      <c r="A31" s="18">
        <v>12</v>
      </c>
      <c r="B31" s="18" t="s">
        <v>36</v>
      </c>
      <c r="C31" s="18">
        <f t="shared" si="2"/>
        <v>150</v>
      </c>
      <c r="D31" s="50">
        <v>100</v>
      </c>
    </row>
    <row r="32" spans="1:46">
      <c r="A32" s="18">
        <v>13</v>
      </c>
      <c r="B32" s="18" t="s">
        <v>52</v>
      </c>
      <c r="C32" s="18">
        <f t="shared" si="2"/>
        <v>350</v>
      </c>
      <c r="D32" s="50">
        <v>100</v>
      </c>
    </row>
    <row r="33" spans="1:4">
      <c r="A33" s="18">
        <v>14</v>
      </c>
      <c r="B33" s="18" t="s">
        <v>38</v>
      </c>
      <c r="C33" s="18">
        <f t="shared" si="2"/>
        <v>0</v>
      </c>
      <c r="D33" s="50">
        <v>1500</v>
      </c>
    </row>
  </sheetData>
  <mergeCells count="2">
    <mergeCell ref="A17:C17"/>
    <mergeCell ref="A1:E1"/>
  </mergeCells>
  <conditionalFormatting sqref="C1:C10 C13:C33">
    <cfRule type="expression" priority="3">
      <formula>C19&lt;B19</formula>
    </cfRule>
  </conditionalFormatting>
  <conditionalFormatting sqref="C11:C12">
    <cfRule type="expression" priority="9">
      <formula>C30&lt;B30</formula>
    </cfRule>
  </conditionalFormatting>
  <conditionalFormatting sqref="C34:C1048560">
    <cfRule type="expression" priority="2">
      <formula>C51&lt;B51</formula>
    </cfRule>
  </conditionalFormatting>
  <conditionalFormatting sqref="C1048561">
    <cfRule type="expression" priority="6">
      <formula>C1&lt;B1</formula>
    </cfRule>
  </conditionalFormatting>
  <conditionalFormatting sqref="C1048562:C1048576">
    <cfRule type="expression" priority="4">
      <formula>C1&lt;B1</formula>
    </cfRule>
  </conditionalFormatting>
  <conditionalFormatting sqref="C20:C33">
    <cfRule type="expression" dxfId="19" priority="1">
      <formula>$D20&gt;$C20</formula>
    </cfRule>
  </conditionalFormatting>
  <pageMargins left="0.7" right="0.7" top="0.75" bottom="0.75" header="0.3" footer="0.3"/>
  <pageSetup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zoomScaleNormal="100" workbookViewId="0">
      <pane xSplit="5" ySplit="2" topLeftCell="G3" activePane="bottomRight" state="frozen"/>
      <selection pane="topRight" activeCell="F1" sqref="F1"/>
      <selection pane="bottomLeft" activeCell="A3" sqref="A3"/>
      <selection pane="bottomRight" activeCell="P3" sqref="P3:P15"/>
    </sheetView>
  </sheetViews>
  <sheetFormatPr defaultColWidth="9" defaultRowHeight="15"/>
  <cols>
    <col min="1" max="1" width="9" style="2"/>
    <col min="2" max="2" width="26.28515625" style="2" bestFit="1" customWidth="1"/>
    <col min="3" max="4" width="15" style="2" customWidth="1"/>
    <col min="5" max="5" width="10.85546875" style="2" customWidth="1"/>
    <col min="6" max="15" width="11.140625" style="2" customWidth="1"/>
    <col min="16" max="16" width="9" style="2"/>
  </cols>
  <sheetData>
    <row r="1" spans="1:16" ht="30.75">
      <c r="A1" s="231" t="s">
        <v>7</v>
      </c>
      <c r="B1" s="231"/>
      <c r="C1" s="231"/>
      <c r="D1" s="231"/>
      <c r="E1" s="231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</row>
    <row r="2" spans="1:16" s="1" customFormat="1" ht="27.95" customHeight="1">
      <c r="A2" s="5" t="s">
        <v>57</v>
      </c>
      <c r="B2" s="5" t="s">
        <v>56</v>
      </c>
      <c r="C2" s="5" t="s">
        <v>103</v>
      </c>
      <c r="D2" s="5" t="s">
        <v>54</v>
      </c>
      <c r="E2" s="17" t="s">
        <v>105</v>
      </c>
      <c r="F2" s="6">
        <v>45829</v>
      </c>
      <c r="G2" s="6">
        <v>45830</v>
      </c>
      <c r="H2" s="6">
        <v>45831</v>
      </c>
      <c r="I2" s="6">
        <v>45832</v>
      </c>
      <c r="J2" s="6">
        <v>45833</v>
      </c>
      <c r="K2" s="6">
        <v>45834</v>
      </c>
      <c r="L2" s="6">
        <v>45835</v>
      </c>
      <c r="M2" s="6">
        <v>45836</v>
      </c>
      <c r="N2" s="6">
        <v>45837</v>
      </c>
      <c r="O2" s="6">
        <v>45838</v>
      </c>
      <c r="P2" s="5" t="s">
        <v>5</v>
      </c>
    </row>
    <row r="3" spans="1:16">
      <c r="A3" s="18">
        <v>1</v>
      </c>
      <c r="B3" s="57" t="s">
        <v>84</v>
      </c>
      <c r="C3" s="3" t="s">
        <v>95</v>
      </c>
      <c r="D3" s="3" t="s">
        <v>1</v>
      </c>
      <c r="E3" s="3">
        <v>350</v>
      </c>
      <c r="F3" s="3"/>
      <c r="G3" s="3"/>
      <c r="H3" s="3"/>
      <c r="I3" s="3"/>
      <c r="J3" s="3"/>
      <c r="K3" s="3"/>
      <c r="L3" s="3"/>
      <c r="M3" s="3"/>
      <c r="N3" s="3"/>
      <c r="O3" s="3"/>
      <c r="P3" s="7">
        <f>E3-F3-G3-H3-I3-J3-K3-L3-M3-N3-O3</f>
        <v>350</v>
      </c>
    </row>
    <row r="4" spans="1:16">
      <c r="A4" s="18">
        <v>2</v>
      </c>
      <c r="B4" s="57" t="s">
        <v>97</v>
      </c>
      <c r="C4" s="57" t="s">
        <v>96</v>
      </c>
      <c r="D4" s="3" t="s">
        <v>1</v>
      </c>
      <c r="E4" s="3">
        <v>325</v>
      </c>
      <c r="F4" s="3"/>
      <c r="G4" s="3"/>
      <c r="H4" s="3"/>
      <c r="I4" s="3"/>
      <c r="J4" s="3"/>
      <c r="K4" s="3"/>
      <c r="L4" s="3"/>
      <c r="M4" s="3"/>
      <c r="N4" s="3"/>
      <c r="O4" s="3"/>
      <c r="P4" s="7">
        <f t="shared" ref="P4:P15" si="0">E4-F4-G4-H4-I4-J4-K4-L4-M4-N4-O4</f>
        <v>325</v>
      </c>
    </row>
    <row r="5" spans="1:16">
      <c r="A5" s="18">
        <v>3</v>
      </c>
      <c r="B5" s="57" t="s">
        <v>85</v>
      </c>
      <c r="C5" s="57" t="s">
        <v>98</v>
      </c>
      <c r="D5" s="3" t="s">
        <v>1</v>
      </c>
      <c r="E5" s="3">
        <v>450</v>
      </c>
      <c r="F5" s="3">
        <v>25</v>
      </c>
      <c r="G5" s="3"/>
      <c r="H5" s="3"/>
      <c r="I5" s="3"/>
      <c r="J5" s="3"/>
      <c r="K5" s="3"/>
      <c r="L5" s="3"/>
      <c r="M5" s="3"/>
      <c r="N5" s="3"/>
      <c r="O5" s="3"/>
      <c r="P5" s="7">
        <f t="shared" si="0"/>
        <v>425</v>
      </c>
    </row>
    <row r="6" spans="1:16">
      <c r="A6" s="18">
        <v>4</v>
      </c>
      <c r="B6" s="57" t="s">
        <v>99</v>
      </c>
      <c r="C6" s="57" t="s">
        <v>95</v>
      </c>
      <c r="D6" s="3" t="s">
        <v>1</v>
      </c>
      <c r="E6" s="3">
        <v>550</v>
      </c>
      <c r="F6" s="3"/>
      <c r="G6" s="3"/>
      <c r="H6" s="3">
        <v>25</v>
      </c>
      <c r="I6" s="3">
        <v>25</v>
      </c>
      <c r="J6" s="3"/>
      <c r="K6" s="3"/>
      <c r="L6" s="3">
        <v>25</v>
      </c>
      <c r="M6" s="3"/>
      <c r="N6" s="3"/>
      <c r="O6" s="3">
        <v>25</v>
      </c>
      <c r="P6" s="7">
        <f t="shared" si="0"/>
        <v>450</v>
      </c>
    </row>
    <row r="7" spans="1:16">
      <c r="A7" s="18">
        <v>5</v>
      </c>
      <c r="B7" s="57" t="s">
        <v>86</v>
      </c>
      <c r="C7" s="57" t="s">
        <v>100</v>
      </c>
      <c r="D7" s="3" t="s">
        <v>1</v>
      </c>
      <c r="E7" s="3">
        <v>175</v>
      </c>
      <c r="F7" s="3"/>
      <c r="G7" s="3"/>
      <c r="H7" s="3"/>
      <c r="I7" s="3"/>
      <c r="J7" s="3"/>
      <c r="K7" s="3"/>
      <c r="L7" s="3"/>
      <c r="M7" s="3"/>
      <c r="N7" s="3"/>
      <c r="O7" s="3"/>
      <c r="P7" s="7">
        <f t="shared" si="0"/>
        <v>175</v>
      </c>
    </row>
    <row r="8" spans="1:16">
      <c r="A8" s="18">
        <v>6</v>
      </c>
      <c r="B8" s="57" t="s">
        <v>87</v>
      </c>
      <c r="C8" s="57" t="s">
        <v>101</v>
      </c>
      <c r="D8" s="4" t="s">
        <v>1</v>
      </c>
      <c r="E8" s="3">
        <v>100</v>
      </c>
      <c r="F8" s="3"/>
      <c r="G8" s="3"/>
      <c r="H8" s="3"/>
      <c r="I8" s="3"/>
      <c r="J8" s="3"/>
      <c r="K8" s="3"/>
      <c r="L8" s="3"/>
      <c r="M8" s="3"/>
      <c r="N8" s="3"/>
      <c r="O8" s="3"/>
      <c r="P8" s="7">
        <f t="shared" si="0"/>
        <v>100</v>
      </c>
    </row>
    <row r="9" spans="1:16">
      <c r="A9" s="18">
        <v>7</v>
      </c>
      <c r="B9" s="57" t="s">
        <v>88</v>
      </c>
      <c r="C9" s="57" t="s">
        <v>96</v>
      </c>
      <c r="D9" s="4" t="s">
        <v>1</v>
      </c>
      <c r="E9" s="3">
        <v>100</v>
      </c>
      <c r="F9" s="3"/>
      <c r="G9" s="3"/>
      <c r="H9" s="3"/>
      <c r="I9" s="3"/>
      <c r="J9" s="3"/>
      <c r="K9" s="3"/>
      <c r="L9" s="3"/>
      <c r="M9" s="3"/>
      <c r="N9" s="3"/>
      <c r="O9" s="3"/>
      <c r="P9" s="7">
        <f t="shared" si="0"/>
        <v>100</v>
      </c>
    </row>
    <row r="10" spans="1:16">
      <c r="A10" s="18">
        <v>8</v>
      </c>
      <c r="B10" s="57" t="s">
        <v>89</v>
      </c>
      <c r="C10" s="57" t="s">
        <v>96</v>
      </c>
      <c r="D10" s="4" t="s">
        <v>1</v>
      </c>
      <c r="E10" s="3">
        <v>100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7">
        <f t="shared" si="0"/>
        <v>100</v>
      </c>
    </row>
    <row r="11" spans="1:16">
      <c r="A11" s="18">
        <v>9</v>
      </c>
      <c r="B11" s="59" t="s">
        <v>104</v>
      </c>
      <c r="C11" s="57" t="s">
        <v>96</v>
      </c>
      <c r="D11" s="4" t="s">
        <v>1</v>
      </c>
      <c r="E11" s="3">
        <v>150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7">
        <f t="shared" si="0"/>
        <v>150</v>
      </c>
    </row>
    <row r="12" spans="1:16">
      <c r="A12" s="18">
        <v>10</v>
      </c>
      <c r="B12" s="57" t="s">
        <v>91</v>
      </c>
      <c r="C12" s="3" t="s">
        <v>96</v>
      </c>
      <c r="D12" s="3" t="s">
        <v>1</v>
      </c>
      <c r="E12" s="3">
        <v>100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7">
        <f t="shared" si="0"/>
        <v>100</v>
      </c>
    </row>
    <row r="13" spans="1:16">
      <c r="A13" s="18">
        <v>13</v>
      </c>
      <c r="B13" s="57" t="s">
        <v>92</v>
      </c>
      <c r="C13" s="57" t="s">
        <v>96</v>
      </c>
      <c r="D13" s="4" t="s">
        <v>1</v>
      </c>
      <c r="E13" s="3">
        <v>200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7">
        <f t="shared" si="0"/>
        <v>200</v>
      </c>
    </row>
    <row r="14" spans="1:16">
      <c r="A14" s="3">
        <v>14</v>
      </c>
      <c r="B14" s="3" t="s">
        <v>93</v>
      </c>
      <c r="C14" s="3" t="s">
        <v>96</v>
      </c>
      <c r="D14" s="3" t="s">
        <v>1</v>
      </c>
      <c r="E14" s="3">
        <v>250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7">
        <f t="shared" si="0"/>
        <v>250</v>
      </c>
    </row>
    <row r="15" spans="1:16">
      <c r="A15" s="3">
        <v>15</v>
      </c>
      <c r="B15" s="3" t="s">
        <v>94</v>
      </c>
      <c r="C15" s="3" t="s">
        <v>102</v>
      </c>
      <c r="D15" s="3" t="s">
        <v>1</v>
      </c>
      <c r="E15" s="3">
        <v>75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7">
        <f t="shared" si="0"/>
        <v>75</v>
      </c>
    </row>
    <row r="19" spans="1:4" ht="30">
      <c r="A19" s="5" t="s">
        <v>57</v>
      </c>
      <c r="B19" s="5" t="s">
        <v>56</v>
      </c>
      <c r="C19" s="5" t="s">
        <v>69</v>
      </c>
      <c r="D19" s="5" t="s">
        <v>68</v>
      </c>
    </row>
    <row r="20" spans="1:4">
      <c r="A20" s="18">
        <v>1</v>
      </c>
      <c r="B20" s="57" t="s">
        <v>84</v>
      </c>
      <c r="C20" s="18">
        <f>P3</f>
        <v>350</v>
      </c>
      <c r="D20" s="50">
        <v>200</v>
      </c>
    </row>
    <row r="21" spans="1:4">
      <c r="A21" s="18">
        <v>2</v>
      </c>
      <c r="B21" s="57" t="s">
        <v>97</v>
      </c>
      <c r="C21" s="18">
        <f t="shared" ref="C21:C32" si="1">P4</f>
        <v>325</v>
      </c>
      <c r="D21" s="50">
        <v>100</v>
      </c>
    </row>
    <row r="22" spans="1:4">
      <c r="A22" s="18">
        <v>3</v>
      </c>
      <c r="B22" s="57" t="s">
        <v>85</v>
      </c>
      <c r="C22" s="18">
        <f t="shared" si="1"/>
        <v>425</v>
      </c>
      <c r="D22" s="50">
        <v>200</v>
      </c>
    </row>
    <row r="23" spans="1:4">
      <c r="A23" s="18">
        <v>4</v>
      </c>
      <c r="B23" s="57" t="s">
        <v>99</v>
      </c>
      <c r="C23" s="18">
        <f t="shared" si="1"/>
        <v>450</v>
      </c>
      <c r="D23" s="50">
        <v>200</v>
      </c>
    </row>
    <row r="24" spans="1:4">
      <c r="A24" s="18">
        <v>5</v>
      </c>
      <c r="B24" s="57" t="s">
        <v>86</v>
      </c>
      <c r="C24" s="18">
        <f t="shared" si="1"/>
        <v>175</v>
      </c>
      <c r="D24" s="50">
        <v>100</v>
      </c>
    </row>
    <row r="25" spans="1:4">
      <c r="A25" s="18">
        <v>6</v>
      </c>
      <c r="B25" s="57" t="s">
        <v>87</v>
      </c>
      <c r="C25" s="18">
        <f t="shared" si="1"/>
        <v>100</v>
      </c>
      <c r="D25" s="50">
        <v>25</v>
      </c>
    </row>
    <row r="26" spans="1:4">
      <c r="A26" s="18">
        <v>7</v>
      </c>
      <c r="B26" s="57" t="s">
        <v>88</v>
      </c>
      <c r="C26" s="18">
        <f t="shared" si="1"/>
        <v>100</v>
      </c>
      <c r="D26" s="50">
        <v>200</v>
      </c>
    </row>
    <row r="27" spans="1:4">
      <c r="A27" s="18">
        <v>8</v>
      </c>
      <c r="B27" s="57" t="s">
        <v>89</v>
      </c>
      <c r="C27" s="18">
        <f t="shared" si="1"/>
        <v>100</v>
      </c>
      <c r="D27" s="50">
        <v>200</v>
      </c>
    </row>
    <row r="28" spans="1:4">
      <c r="A28" s="18">
        <v>9</v>
      </c>
      <c r="B28" s="57" t="s">
        <v>90</v>
      </c>
      <c r="C28" s="18">
        <f t="shared" si="1"/>
        <v>150</v>
      </c>
      <c r="D28" s="50">
        <v>100</v>
      </c>
    </row>
    <row r="29" spans="1:4">
      <c r="A29" s="18">
        <v>10</v>
      </c>
      <c r="B29" s="57" t="s">
        <v>91</v>
      </c>
      <c r="C29" s="18">
        <f t="shared" si="1"/>
        <v>100</v>
      </c>
      <c r="D29" s="50">
        <v>0</v>
      </c>
    </row>
    <row r="30" spans="1:4">
      <c r="A30" s="18">
        <v>11</v>
      </c>
      <c r="B30" s="57" t="s">
        <v>92</v>
      </c>
      <c r="C30" s="18">
        <f t="shared" si="1"/>
        <v>200</v>
      </c>
      <c r="D30" s="50">
        <v>100</v>
      </c>
    </row>
    <row r="31" spans="1:4">
      <c r="A31" s="18">
        <v>12</v>
      </c>
      <c r="B31" s="3" t="s">
        <v>93</v>
      </c>
      <c r="C31" s="18">
        <f t="shared" si="1"/>
        <v>250</v>
      </c>
      <c r="D31" s="50">
        <v>100</v>
      </c>
    </row>
    <row r="32" spans="1:4">
      <c r="A32" s="18">
        <v>13</v>
      </c>
      <c r="B32" s="3" t="s">
        <v>94</v>
      </c>
      <c r="C32" s="18">
        <f t="shared" si="1"/>
        <v>75</v>
      </c>
      <c r="D32" s="50">
        <v>25</v>
      </c>
    </row>
  </sheetData>
  <mergeCells count="1">
    <mergeCell ref="A1:E1"/>
  </mergeCells>
  <conditionalFormatting sqref="C20:C32">
    <cfRule type="expression" dxfId="18" priority="1">
      <formula>$D20&gt;$C20</formula>
    </cfRule>
  </conditionalFormatting>
  <pageMargins left="0.70866141732283472" right="0.70866141732283472" top="0.74803149606299213" bottom="0.74803149606299213" header="0.31496062992125984" footer="0.31496062992125984"/>
  <pageSetup scale="12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R33"/>
  <sheetViews>
    <sheetView zoomScaleNormal="100" workbookViewId="0">
      <pane xSplit="5" ySplit="2" topLeftCell="AK3" activePane="bottomRight" state="frozen"/>
      <selection pane="topRight" activeCell="F1" sqref="F1"/>
      <selection pane="bottomLeft" activeCell="A3" sqref="A3"/>
      <selection pane="bottomRight" activeCell="AN19" sqref="AN19"/>
    </sheetView>
  </sheetViews>
  <sheetFormatPr defaultColWidth="9" defaultRowHeight="15"/>
  <cols>
    <col min="1" max="1" width="9" style="2"/>
    <col min="2" max="2" width="33.5703125" style="2" customWidth="1"/>
    <col min="3" max="3" width="15" style="2" customWidth="1"/>
    <col min="4" max="4" width="17" style="2" bestFit="1" customWidth="1"/>
    <col min="5" max="5" width="9" style="2"/>
    <col min="6" max="6" width="10.7109375" style="2" customWidth="1"/>
    <col min="7" max="7" width="11.140625" style="2" customWidth="1"/>
    <col min="8" max="8" width="10.42578125" style="2" bestFit="1" customWidth="1"/>
    <col min="9" max="43" width="11.140625" style="2" customWidth="1"/>
    <col min="44" max="44" width="9" style="2"/>
  </cols>
  <sheetData>
    <row r="1" spans="1:44" ht="30.75">
      <c r="A1" s="231" t="s">
        <v>66</v>
      </c>
      <c r="B1" s="231"/>
      <c r="C1" s="231"/>
      <c r="D1" s="231"/>
      <c r="E1" s="231"/>
      <c r="F1" s="61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61"/>
    </row>
    <row r="2" spans="1:44" s="1" customFormat="1" ht="32.25" customHeight="1">
      <c r="A2" s="5" t="s">
        <v>57</v>
      </c>
      <c r="B2" s="5" t="s">
        <v>56</v>
      </c>
      <c r="C2" s="5" t="s">
        <v>55</v>
      </c>
      <c r="D2" s="5" t="s">
        <v>54</v>
      </c>
      <c r="E2" s="17" t="s">
        <v>53</v>
      </c>
      <c r="F2" s="44" t="s">
        <v>109</v>
      </c>
      <c r="G2" s="6">
        <v>45839</v>
      </c>
      <c r="H2" s="6">
        <v>45840</v>
      </c>
      <c r="I2" s="6">
        <v>45841</v>
      </c>
      <c r="J2" s="6">
        <v>45842</v>
      </c>
      <c r="K2" s="44" t="s">
        <v>110</v>
      </c>
      <c r="L2" s="6">
        <v>45843</v>
      </c>
      <c r="M2" s="6">
        <v>45844</v>
      </c>
      <c r="N2" s="6">
        <v>45845</v>
      </c>
      <c r="O2" s="44" t="s">
        <v>112</v>
      </c>
      <c r="P2" s="6">
        <v>45846</v>
      </c>
      <c r="Q2" s="6">
        <v>45847</v>
      </c>
      <c r="R2" s="44" t="s">
        <v>113</v>
      </c>
      <c r="S2" s="6">
        <v>45848</v>
      </c>
      <c r="T2" s="6">
        <v>45849</v>
      </c>
      <c r="U2" s="6">
        <v>45850</v>
      </c>
      <c r="V2" s="6">
        <v>45851</v>
      </c>
      <c r="W2" s="44" t="s">
        <v>114</v>
      </c>
      <c r="X2" s="6">
        <v>45852</v>
      </c>
      <c r="Y2" s="6">
        <v>45853</v>
      </c>
      <c r="Z2" s="6">
        <v>45854</v>
      </c>
      <c r="AA2" s="6">
        <v>45855</v>
      </c>
      <c r="AB2" s="6">
        <v>45856</v>
      </c>
      <c r="AC2" s="6">
        <v>45857</v>
      </c>
      <c r="AD2" s="6">
        <v>45858</v>
      </c>
      <c r="AE2" s="6">
        <v>45859</v>
      </c>
      <c r="AF2" s="44" t="s">
        <v>115</v>
      </c>
      <c r="AG2" s="6">
        <v>45860</v>
      </c>
      <c r="AH2" s="6">
        <v>45861</v>
      </c>
      <c r="AI2" s="6">
        <v>45862</v>
      </c>
      <c r="AJ2" s="6">
        <v>45863</v>
      </c>
      <c r="AK2" s="6">
        <v>45864</v>
      </c>
      <c r="AL2" s="6">
        <v>45866</v>
      </c>
      <c r="AM2" s="44" t="s">
        <v>116</v>
      </c>
      <c r="AN2" s="6">
        <v>45867</v>
      </c>
      <c r="AO2" s="6">
        <v>45868</v>
      </c>
      <c r="AP2" s="44" t="s">
        <v>117</v>
      </c>
      <c r="AQ2" s="6">
        <v>45869</v>
      </c>
      <c r="AR2" s="5" t="s">
        <v>5</v>
      </c>
    </row>
    <row r="3" spans="1:44" ht="15.75" thickBot="1">
      <c r="A3" s="18">
        <v>1</v>
      </c>
      <c r="B3" s="18" t="s">
        <v>32</v>
      </c>
      <c r="C3" s="18" t="s">
        <v>0</v>
      </c>
      <c r="D3" s="18" t="s">
        <v>1</v>
      </c>
      <c r="E3" s="18">
        <v>2800</v>
      </c>
      <c r="F3" s="18"/>
      <c r="G3" s="19"/>
      <c r="H3" s="19">
        <v>350</v>
      </c>
      <c r="I3" s="19"/>
      <c r="J3" s="19"/>
      <c r="K3" s="39"/>
      <c r="L3" s="39"/>
      <c r="M3" s="45"/>
      <c r="N3" s="19"/>
      <c r="O3" s="19"/>
      <c r="P3" s="19"/>
      <c r="Q3" s="19"/>
      <c r="R3" s="19"/>
      <c r="S3" s="19">
        <v>175</v>
      </c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60"/>
      <c r="AI3" s="19"/>
      <c r="AJ3" s="19"/>
      <c r="AK3" s="19"/>
      <c r="AL3" s="19"/>
      <c r="AM3" s="19"/>
      <c r="AN3" s="19"/>
      <c r="AO3" s="19"/>
      <c r="AP3" s="19"/>
      <c r="AQ3" s="19"/>
      <c r="AR3" s="7">
        <f>E3+F3-G3-H3-I3-J3+K3-L3-M3-N3+O3-P3-Q3+R3-S3-T3-U3-V3+W3-X3-Y3-Z3-AA3-AB3-AC3-AD3-AE3+AF3-AG3-AH3-AI3-AJ3-AK3-AL3+AM3-AN3-AO3+AP3-AQ3</f>
        <v>2275</v>
      </c>
    </row>
    <row r="4" spans="1:44" ht="15.75" thickBot="1">
      <c r="A4" s="18">
        <v>2</v>
      </c>
      <c r="B4" s="18" t="s">
        <v>26</v>
      </c>
      <c r="C4" s="18" t="s">
        <v>0</v>
      </c>
      <c r="D4" s="18" t="s">
        <v>1</v>
      </c>
      <c r="E4" s="18">
        <v>3550</v>
      </c>
      <c r="F4" s="18"/>
      <c r="G4" s="19">
        <v>700</v>
      </c>
      <c r="H4" s="19"/>
      <c r="I4" s="19"/>
      <c r="J4" s="19">
        <v>500</v>
      </c>
      <c r="K4" s="19"/>
      <c r="L4" s="19">
        <v>500</v>
      </c>
      <c r="M4" s="19"/>
      <c r="N4" s="19">
        <v>625</v>
      </c>
      <c r="O4" s="65">
        <v>5000</v>
      </c>
      <c r="P4" s="19"/>
      <c r="Q4" s="19">
        <v>575</v>
      </c>
      <c r="R4" s="19"/>
      <c r="S4" s="19">
        <v>375</v>
      </c>
      <c r="T4" s="19">
        <v>725</v>
      </c>
      <c r="U4" s="19">
        <v>625</v>
      </c>
      <c r="V4" s="19"/>
      <c r="W4" s="19"/>
      <c r="X4" s="19"/>
      <c r="Y4" s="19"/>
      <c r="Z4" s="19"/>
      <c r="AA4" s="19"/>
      <c r="AB4" s="19"/>
      <c r="AC4" s="19">
        <v>250</v>
      </c>
      <c r="AD4" s="19"/>
      <c r="AE4" s="19">
        <v>250</v>
      </c>
      <c r="AF4" s="19"/>
      <c r="AG4" s="19">
        <v>500</v>
      </c>
      <c r="AH4" s="60">
        <v>375</v>
      </c>
      <c r="AI4" s="19">
        <v>625</v>
      </c>
      <c r="AJ4" s="19">
        <v>375</v>
      </c>
      <c r="AK4" s="19">
        <v>375</v>
      </c>
      <c r="AL4" s="19">
        <v>250</v>
      </c>
      <c r="AM4" s="19"/>
      <c r="AN4" s="19">
        <v>375</v>
      </c>
      <c r="AO4" s="19">
        <v>375</v>
      </c>
      <c r="AP4" s="65">
        <v>5000</v>
      </c>
      <c r="AQ4" s="19">
        <v>175</v>
      </c>
      <c r="AR4" s="7">
        <f t="shared" ref="AR4:AR16" si="0">E4+F4-G4-H4-I4-J4+K4-L4-M4-N4+O4-P4-Q4+R4-S4-T4-U4-V4+W4-X4-Y4-Z4-AA4-AB4-AC4-AD4-AE4+AF4-AG4-AH4-AI4-AJ4-AK4-AL4+AM4-AN4-AO4+AP4-AQ4</f>
        <v>5000</v>
      </c>
    </row>
    <row r="5" spans="1:44" ht="15.75" thickBot="1">
      <c r="A5" s="18">
        <v>3</v>
      </c>
      <c r="B5" s="18" t="s">
        <v>27</v>
      </c>
      <c r="C5" s="18" t="s">
        <v>0</v>
      </c>
      <c r="D5" s="18" t="s">
        <v>1</v>
      </c>
      <c r="E5" s="18">
        <v>4325</v>
      </c>
      <c r="F5" s="63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81">
        <v>4025</v>
      </c>
      <c r="Y5" s="19"/>
      <c r="Z5" s="19"/>
      <c r="AA5" s="19"/>
      <c r="AB5" s="19"/>
      <c r="AC5" s="19"/>
      <c r="AD5" s="19"/>
      <c r="AE5" s="19"/>
      <c r="AF5" s="19"/>
      <c r="AG5" s="19"/>
      <c r="AH5" s="60"/>
      <c r="AI5" s="19"/>
      <c r="AJ5" s="19"/>
      <c r="AK5" s="19"/>
      <c r="AL5" s="19"/>
      <c r="AM5" s="19"/>
      <c r="AN5" s="19"/>
      <c r="AO5" s="19"/>
      <c r="AP5" s="19"/>
      <c r="AQ5" s="19"/>
      <c r="AR5" s="7">
        <f t="shared" si="0"/>
        <v>300</v>
      </c>
    </row>
    <row r="6" spans="1:44" ht="15.75" thickBot="1">
      <c r="A6" s="18">
        <v>4</v>
      </c>
      <c r="B6" s="18" t="s">
        <v>28</v>
      </c>
      <c r="C6" s="18" t="s">
        <v>0</v>
      </c>
      <c r="D6" s="18" t="s">
        <v>1</v>
      </c>
      <c r="E6" s="62">
        <v>0</v>
      </c>
      <c r="F6" s="65">
        <v>20000</v>
      </c>
      <c r="G6" s="40">
        <f>68*25</f>
        <v>1700</v>
      </c>
      <c r="H6" s="19">
        <v>975</v>
      </c>
      <c r="I6" s="19">
        <v>1500</v>
      </c>
      <c r="J6" s="19">
        <v>1250</v>
      </c>
      <c r="K6" s="19"/>
      <c r="L6" s="19">
        <v>900</v>
      </c>
      <c r="M6" s="19">
        <v>375</v>
      </c>
      <c r="N6" s="19">
        <v>650</v>
      </c>
      <c r="O6" s="19"/>
      <c r="P6" s="19">
        <v>1025</v>
      </c>
      <c r="Q6" s="19">
        <v>900</v>
      </c>
      <c r="R6" s="19"/>
      <c r="S6" s="19">
        <v>1000</v>
      </c>
      <c r="T6" s="19">
        <v>1375</v>
      </c>
      <c r="U6" s="19">
        <v>725</v>
      </c>
      <c r="V6" s="19"/>
      <c r="W6" s="19"/>
      <c r="X6" s="19"/>
      <c r="Y6" s="19"/>
      <c r="Z6" s="19">
        <v>125</v>
      </c>
      <c r="AA6" s="19">
        <v>375</v>
      </c>
      <c r="AB6" s="19">
        <v>550</v>
      </c>
      <c r="AC6" s="19">
        <v>775</v>
      </c>
      <c r="AD6" s="19"/>
      <c r="AE6" s="19"/>
      <c r="AF6" s="19"/>
      <c r="AG6" s="19">
        <v>250</v>
      </c>
      <c r="AH6" s="60"/>
      <c r="AI6" s="19">
        <v>425</v>
      </c>
      <c r="AJ6" s="19">
        <v>1950</v>
      </c>
      <c r="AK6" s="19">
        <v>700</v>
      </c>
      <c r="AL6" s="19">
        <v>1475</v>
      </c>
      <c r="AM6" s="65">
        <v>10000</v>
      </c>
      <c r="AN6" s="19">
        <v>1500</v>
      </c>
      <c r="AO6" s="19">
        <v>1325</v>
      </c>
      <c r="AP6" s="19"/>
      <c r="AQ6" s="19">
        <v>1300</v>
      </c>
      <c r="AR6" s="7">
        <f t="shared" si="0"/>
        <v>6875</v>
      </c>
    </row>
    <row r="7" spans="1:44">
      <c r="A7" s="18">
        <v>5</v>
      </c>
      <c r="B7" s="18" t="s">
        <v>106</v>
      </c>
      <c r="C7" s="18" t="s">
        <v>2</v>
      </c>
      <c r="D7" s="18" t="s">
        <v>1</v>
      </c>
      <c r="E7" s="18">
        <v>575</v>
      </c>
      <c r="F7" s="64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60"/>
      <c r="AI7" s="19"/>
      <c r="AJ7" s="19"/>
      <c r="AK7" s="19"/>
      <c r="AL7" s="19"/>
      <c r="AM7" s="19"/>
      <c r="AN7" s="19"/>
      <c r="AO7" s="19"/>
      <c r="AP7" s="19"/>
      <c r="AQ7" s="19"/>
      <c r="AR7" s="7">
        <f t="shared" si="0"/>
        <v>575</v>
      </c>
    </row>
    <row r="8" spans="1:44">
      <c r="A8" s="18">
        <v>6</v>
      </c>
      <c r="B8" s="18" t="s">
        <v>30</v>
      </c>
      <c r="C8" s="18" t="s">
        <v>2</v>
      </c>
      <c r="D8" s="18" t="s">
        <v>1</v>
      </c>
      <c r="E8" s="18">
        <v>2825</v>
      </c>
      <c r="F8" s="18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60"/>
      <c r="AI8" s="19"/>
      <c r="AJ8" s="19"/>
      <c r="AK8" s="19"/>
      <c r="AL8" s="19"/>
      <c r="AM8" s="19"/>
      <c r="AN8" s="19"/>
      <c r="AO8" s="19"/>
      <c r="AP8" s="19"/>
      <c r="AQ8" s="19"/>
      <c r="AR8" s="7">
        <f t="shared" si="0"/>
        <v>2825</v>
      </c>
    </row>
    <row r="9" spans="1:44" ht="15.75" thickBot="1">
      <c r="A9" s="18">
        <v>7</v>
      </c>
      <c r="B9" s="18" t="s">
        <v>31</v>
      </c>
      <c r="C9" s="18" t="s">
        <v>2</v>
      </c>
      <c r="D9" s="18" t="s">
        <v>1</v>
      </c>
      <c r="E9" s="18">
        <v>900</v>
      </c>
      <c r="F9" s="18"/>
      <c r="G9" s="19"/>
      <c r="H9" s="19"/>
      <c r="I9" s="19"/>
      <c r="J9" s="19"/>
      <c r="K9" s="19"/>
      <c r="L9" s="19"/>
      <c r="M9" s="19"/>
      <c r="N9" s="19"/>
      <c r="O9" s="19"/>
      <c r="P9" s="19"/>
      <c r="Q9" s="19">
        <v>325</v>
      </c>
      <c r="R9" s="19"/>
      <c r="S9" s="19"/>
      <c r="T9" s="19">
        <v>200</v>
      </c>
      <c r="U9" s="19">
        <v>100</v>
      </c>
      <c r="V9" s="19"/>
      <c r="W9" s="19"/>
      <c r="X9" s="19"/>
      <c r="Y9" s="19"/>
      <c r="Z9" s="19"/>
      <c r="AA9" s="19"/>
      <c r="AB9" s="19">
        <v>50</v>
      </c>
      <c r="AC9" s="19"/>
      <c r="AD9" s="19"/>
      <c r="AE9" s="19"/>
      <c r="AF9" s="19"/>
      <c r="AG9" s="19"/>
      <c r="AH9" s="60">
        <v>25</v>
      </c>
      <c r="AI9" s="19"/>
      <c r="AJ9" s="19"/>
      <c r="AK9" s="19"/>
      <c r="AL9" s="19"/>
      <c r="AM9" s="19"/>
      <c r="AN9" s="19"/>
      <c r="AO9" s="19"/>
      <c r="AP9" s="19"/>
      <c r="AQ9" s="19"/>
      <c r="AR9" s="7">
        <f t="shared" si="0"/>
        <v>200</v>
      </c>
    </row>
    <row r="10" spans="1:44" ht="15.75" thickBot="1">
      <c r="A10" s="18">
        <v>8</v>
      </c>
      <c r="B10" s="18" t="s">
        <v>33</v>
      </c>
      <c r="C10" s="18" t="s">
        <v>2</v>
      </c>
      <c r="D10" s="18" t="s">
        <v>1</v>
      </c>
      <c r="E10" s="18">
        <v>3900</v>
      </c>
      <c r="F10" s="18"/>
      <c r="G10" s="19">
        <v>450</v>
      </c>
      <c r="H10" s="19">
        <v>500</v>
      </c>
      <c r="I10" s="19"/>
      <c r="J10" s="19">
        <v>425</v>
      </c>
      <c r="K10" s="19"/>
      <c r="L10" s="19">
        <v>500</v>
      </c>
      <c r="M10" s="19">
        <v>300</v>
      </c>
      <c r="N10" s="19">
        <v>250</v>
      </c>
      <c r="O10" s="19"/>
      <c r="P10" s="19">
        <v>775</v>
      </c>
      <c r="Q10" s="19">
        <v>350</v>
      </c>
      <c r="R10" s="65">
        <v>1750</v>
      </c>
      <c r="S10" s="19">
        <v>350</v>
      </c>
      <c r="T10" s="19">
        <v>475</v>
      </c>
      <c r="U10" s="19">
        <v>700</v>
      </c>
      <c r="V10" s="19"/>
      <c r="W10" s="65">
        <v>5000</v>
      </c>
      <c r="X10" s="19">
        <v>1100</v>
      </c>
      <c r="Y10" s="19">
        <v>550</v>
      </c>
      <c r="Z10" s="19">
        <v>325</v>
      </c>
      <c r="AA10" s="19">
        <v>400</v>
      </c>
      <c r="AB10" s="19">
        <v>300</v>
      </c>
      <c r="AC10" s="19">
        <v>550</v>
      </c>
      <c r="AD10" s="19"/>
      <c r="AE10" s="19">
        <v>500</v>
      </c>
      <c r="AF10" s="65">
        <v>5000</v>
      </c>
      <c r="AG10" s="19">
        <v>750</v>
      </c>
      <c r="AH10" s="60">
        <v>375</v>
      </c>
      <c r="AI10" s="19">
        <v>400</v>
      </c>
      <c r="AJ10" s="19">
        <v>775</v>
      </c>
      <c r="AK10" s="19">
        <v>325</v>
      </c>
      <c r="AL10" s="19">
        <v>375</v>
      </c>
      <c r="AM10" s="19"/>
      <c r="AN10" s="19">
        <v>375</v>
      </c>
      <c r="AO10" s="19">
        <v>375</v>
      </c>
      <c r="AP10" s="19"/>
      <c r="AQ10" s="19">
        <v>450</v>
      </c>
      <c r="AR10" s="7">
        <f t="shared" si="0"/>
        <v>2650</v>
      </c>
    </row>
    <row r="11" spans="1:44" ht="15.75" thickBot="1">
      <c r="A11" s="18">
        <v>9</v>
      </c>
      <c r="B11" s="18" t="s">
        <v>34</v>
      </c>
      <c r="C11" s="18" t="s">
        <v>2</v>
      </c>
      <c r="D11" s="18" t="s">
        <v>1</v>
      </c>
      <c r="E11" s="18">
        <v>1850</v>
      </c>
      <c r="F11" s="18"/>
      <c r="G11" s="19">
        <v>200</v>
      </c>
      <c r="H11" s="19"/>
      <c r="I11" s="40">
        <v>150</v>
      </c>
      <c r="J11" s="19">
        <v>250</v>
      </c>
      <c r="K11" s="19"/>
      <c r="L11" s="19">
        <v>125</v>
      </c>
      <c r="M11" s="19"/>
      <c r="N11" s="19"/>
      <c r="O11" s="19"/>
      <c r="P11" s="19"/>
      <c r="Q11" s="19"/>
      <c r="R11" s="19"/>
      <c r="S11" s="19">
        <v>400</v>
      </c>
      <c r="T11" s="19"/>
      <c r="U11" s="19"/>
      <c r="V11" s="19"/>
      <c r="W11" s="65">
        <v>5000</v>
      </c>
      <c r="X11" s="19">
        <v>50</v>
      </c>
      <c r="Y11" s="19">
        <v>650</v>
      </c>
      <c r="Z11" s="19">
        <v>650</v>
      </c>
      <c r="AA11" s="19">
        <v>375</v>
      </c>
      <c r="AB11" s="19">
        <v>625</v>
      </c>
      <c r="AC11" s="19">
        <v>450</v>
      </c>
      <c r="AD11" s="19"/>
      <c r="AE11" s="19">
        <v>500</v>
      </c>
      <c r="AF11" s="19"/>
      <c r="AG11" s="19"/>
      <c r="AH11" s="60">
        <v>700</v>
      </c>
      <c r="AI11" s="19">
        <v>125</v>
      </c>
      <c r="AJ11" s="19"/>
      <c r="AK11" s="19"/>
      <c r="AL11" s="19"/>
      <c r="AM11" s="19"/>
      <c r="AN11" s="19"/>
      <c r="AO11" s="19"/>
      <c r="AP11" s="19"/>
      <c r="AQ11" s="19"/>
      <c r="AR11" s="7">
        <f t="shared" si="0"/>
        <v>1600</v>
      </c>
    </row>
    <row r="12" spans="1:44" ht="15.75" thickBot="1">
      <c r="A12" s="18">
        <v>10</v>
      </c>
      <c r="B12" s="18" t="s">
        <v>74</v>
      </c>
      <c r="C12" s="18" t="s">
        <v>2</v>
      </c>
      <c r="D12" s="18" t="s">
        <v>1</v>
      </c>
      <c r="E12" s="18">
        <v>0</v>
      </c>
      <c r="F12" s="18"/>
      <c r="G12" s="19"/>
      <c r="H12" s="19"/>
      <c r="I12" s="40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60"/>
      <c r="AI12" s="19"/>
      <c r="AJ12" s="19"/>
      <c r="AK12" s="19"/>
      <c r="AL12" s="19"/>
      <c r="AM12" s="19"/>
      <c r="AN12" s="19"/>
      <c r="AO12" s="19"/>
      <c r="AP12" s="19"/>
      <c r="AQ12" s="19"/>
      <c r="AR12" s="7">
        <f t="shared" si="0"/>
        <v>0</v>
      </c>
    </row>
    <row r="13" spans="1:44" ht="15.75" thickBot="1">
      <c r="A13" s="18">
        <v>11</v>
      </c>
      <c r="B13" s="18" t="s">
        <v>35</v>
      </c>
      <c r="C13" s="18" t="s">
        <v>3</v>
      </c>
      <c r="D13" s="18" t="s">
        <v>1</v>
      </c>
      <c r="E13" s="18">
        <v>1625</v>
      </c>
      <c r="F13" s="18"/>
      <c r="G13" s="19">
        <v>200</v>
      </c>
      <c r="H13" s="19">
        <v>425</v>
      </c>
      <c r="I13" s="19">
        <v>250</v>
      </c>
      <c r="J13" s="19">
        <v>425</v>
      </c>
      <c r="K13" s="65">
        <v>5000</v>
      </c>
      <c r="L13" s="19">
        <v>350</v>
      </c>
      <c r="M13" s="19">
        <v>150</v>
      </c>
      <c r="N13" s="19">
        <v>350</v>
      </c>
      <c r="O13" s="19"/>
      <c r="P13" s="19">
        <v>600</v>
      </c>
      <c r="Q13" s="19"/>
      <c r="R13" s="19"/>
      <c r="S13" s="19"/>
      <c r="T13" s="19"/>
      <c r="U13" s="19"/>
      <c r="V13" s="19"/>
      <c r="W13" s="19"/>
      <c r="X13" s="19">
        <v>25</v>
      </c>
      <c r="Y13" s="19">
        <v>200</v>
      </c>
      <c r="Z13" s="19">
        <v>450</v>
      </c>
      <c r="AA13" s="19">
        <v>450</v>
      </c>
      <c r="AB13" s="19">
        <v>625</v>
      </c>
      <c r="AC13" s="19">
        <v>225</v>
      </c>
      <c r="AD13" s="19"/>
      <c r="AE13" s="19">
        <v>575</v>
      </c>
      <c r="AF13" s="65">
        <v>5000</v>
      </c>
      <c r="AG13" s="19">
        <v>400</v>
      </c>
      <c r="AH13" s="60">
        <v>250</v>
      </c>
      <c r="AI13" s="19">
        <v>325</v>
      </c>
      <c r="AJ13" s="19">
        <v>200</v>
      </c>
      <c r="AK13" s="19">
        <v>150</v>
      </c>
      <c r="AL13" s="19">
        <v>375</v>
      </c>
      <c r="AM13" s="19"/>
      <c r="AN13" s="19">
        <v>375</v>
      </c>
      <c r="AO13" s="19"/>
      <c r="AP13" s="19"/>
      <c r="AQ13" s="19">
        <v>125</v>
      </c>
      <c r="AR13" s="7">
        <f t="shared" si="0"/>
        <v>4125</v>
      </c>
    </row>
    <row r="14" spans="1:44">
      <c r="A14" s="18">
        <v>12</v>
      </c>
      <c r="B14" s="18" t="s">
        <v>36</v>
      </c>
      <c r="C14" s="18" t="s">
        <v>2</v>
      </c>
      <c r="D14" s="18" t="s">
        <v>1</v>
      </c>
      <c r="E14" s="18">
        <v>150</v>
      </c>
      <c r="F14" s="18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60"/>
      <c r="AI14" s="19"/>
      <c r="AJ14" s="19"/>
      <c r="AK14" s="19"/>
      <c r="AL14" s="19"/>
      <c r="AM14" s="19"/>
      <c r="AN14" s="19"/>
      <c r="AO14" s="19"/>
      <c r="AP14" s="19"/>
      <c r="AQ14" s="19"/>
      <c r="AR14" s="7">
        <f t="shared" si="0"/>
        <v>150</v>
      </c>
    </row>
    <row r="15" spans="1:44">
      <c r="A15" s="18">
        <v>13</v>
      </c>
      <c r="B15" s="18" t="s">
        <v>52</v>
      </c>
      <c r="C15" s="18" t="s">
        <v>37</v>
      </c>
      <c r="D15" s="18" t="s">
        <v>1</v>
      </c>
      <c r="E15" s="18">
        <v>350</v>
      </c>
      <c r="F15" s="18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60"/>
      <c r="AI15" s="19"/>
      <c r="AJ15" s="19"/>
      <c r="AK15" s="19"/>
      <c r="AL15" s="19"/>
      <c r="AM15" s="19"/>
      <c r="AN15" s="19"/>
      <c r="AO15" s="19"/>
      <c r="AP15" s="19"/>
      <c r="AQ15" s="19"/>
      <c r="AR15" s="7">
        <f t="shared" si="0"/>
        <v>350</v>
      </c>
    </row>
    <row r="16" spans="1:44">
      <c r="A16" s="18">
        <v>14</v>
      </c>
      <c r="B16" s="18" t="s">
        <v>38</v>
      </c>
      <c r="C16" s="18" t="s">
        <v>6</v>
      </c>
      <c r="D16" s="18" t="s">
        <v>1</v>
      </c>
      <c r="E16" s="18">
        <v>0</v>
      </c>
      <c r="F16" s="18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60"/>
      <c r="AI16" s="19"/>
      <c r="AJ16" s="19"/>
      <c r="AK16" s="19"/>
      <c r="AL16" s="19"/>
      <c r="AM16" s="19"/>
      <c r="AN16" s="19"/>
      <c r="AO16" s="19"/>
      <c r="AP16" s="19"/>
      <c r="AQ16" s="19"/>
      <c r="AR16" s="7">
        <f t="shared" si="0"/>
        <v>0</v>
      </c>
    </row>
    <row r="17" spans="1:44" ht="15.75">
      <c r="A17" s="228"/>
      <c r="B17" s="229"/>
      <c r="C17" s="230"/>
      <c r="D17" s="16" t="s">
        <v>51</v>
      </c>
      <c r="E17" s="15">
        <f>SUM(E3:E16)</f>
        <v>22850</v>
      </c>
      <c r="F17" s="15"/>
      <c r="G17" s="15">
        <f>SUM(G3:G16)</f>
        <v>3250</v>
      </c>
      <c r="H17" s="15">
        <f t="shared" ref="H17:AQ17" si="1">SUM(H3:H16)</f>
        <v>2250</v>
      </c>
      <c r="I17" s="15">
        <f t="shared" si="1"/>
        <v>1900</v>
      </c>
      <c r="J17" s="15">
        <f t="shared" si="1"/>
        <v>2850</v>
      </c>
      <c r="K17" s="15"/>
      <c r="L17" s="15">
        <f t="shared" si="1"/>
        <v>2375</v>
      </c>
      <c r="M17" s="15">
        <f t="shared" si="1"/>
        <v>825</v>
      </c>
      <c r="N17" s="15">
        <f t="shared" si="1"/>
        <v>1875</v>
      </c>
      <c r="O17" s="15"/>
      <c r="P17" s="15">
        <f t="shared" si="1"/>
        <v>2400</v>
      </c>
      <c r="Q17" s="15">
        <f t="shared" si="1"/>
        <v>2150</v>
      </c>
      <c r="R17" s="15"/>
      <c r="S17" s="15">
        <f t="shared" si="1"/>
        <v>2300</v>
      </c>
      <c r="T17" s="15">
        <f t="shared" si="1"/>
        <v>2775</v>
      </c>
      <c r="U17" s="15">
        <f t="shared" si="1"/>
        <v>2150</v>
      </c>
      <c r="V17" s="15">
        <f t="shared" si="1"/>
        <v>0</v>
      </c>
      <c r="W17" s="15"/>
      <c r="X17" s="15">
        <v>1175</v>
      </c>
      <c r="Y17" s="15">
        <f t="shared" si="1"/>
        <v>1400</v>
      </c>
      <c r="Z17" s="15">
        <f t="shared" si="1"/>
        <v>1550</v>
      </c>
      <c r="AA17" s="15">
        <f t="shared" si="1"/>
        <v>1600</v>
      </c>
      <c r="AB17" s="15">
        <f t="shared" si="1"/>
        <v>2150</v>
      </c>
      <c r="AC17" s="15">
        <f t="shared" si="1"/>
        <v>2250</v>
      </c>
      <c r="AD17" s="15">
        <f t="shared" si="1"/>
        <v>0</v>
      </c>
      <c r="AE17" s="15">
        <f t="shared" si="1"/>
        <v>1825</v>
      </c>
      <c r="AF17" s="15"/>
      <c r="AG17" s="15">
        <f t="shared" si="1"/>
        <v>1900</v>
      </c>
      <c r="AH17" s="15">
        <f t="shared" si="1"/>
        <v>1725</v>
      </c>
      <c r="AI17" s="15">
        <f t="shared" si="1"/>
        <v>1900</v>
      </c>
      <c r="AJ17" s="15">
        <f t="shared" si="1"/>
        <v>3300</v>
      </c>
      <c r="AK17" s="15">
        <f t="shared" si="1"/>
        <v>1550</v>
      </c>
      <c r="AL17" s="15">
        <f t="shared" si="1"/>
        <v>2475</v>
      </c>
      <c r="AM17" s="15"/>
      <c r="AN17" s="15">
        <f t="shared" si="1"/>
        <v>2625</v>
      </c>
      <c r="AO17" s="15">
        <f t="shared" si="1"/>
        <v>2075</v>
      </c>
      <c r="AP17" s="15"/>
      <c r="AQ17" s="15">
        <f t="shared" si="1"/>
        <v>2050</v>
      </c>
      <c r="AR17" s="15"/>
    </row>
    <row r="18" spans="1:44" ht="15.75">
      <c r="A18" s="21"/>
      <c r="B18" s="21"/>
      <c r="C18" s="21"/>
      <c r="D18" s="54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</row>
    <row r="19" spans="1:44" ht="15.75">
      <c r="A19" s="51"/>
      <c r="B19" s="51" t="s">
        <v>8</v>
      </c>
      <c r="C19" s="51" t="s">
        <v>67</v>
      </c>
      <c r="D19" s="51" t="s">
        <v>68</v>
      </c>
    </row>
    <row r="20" spans="1:44">
      <c r="A20" s="18">
        <v>1</v>
      </c>
      <c r="B20" s="18" t="s">
        <v>32</v>
      </c>
      <c r="C20" s="18">
        <f>AR3</f>
        <v>2275</v>
      </c>
      <c r="D20" s="50">
        <v>1000</v>
      </c>
    </row>
    <row r="21" spans="1:44">
      <c r="A21" s="18">
        <v>2</v>
      </c>
      <c r="B21" s="18" t="s">
        <v>26</v>
      </c>
      <c r="C21" s="18">
        <f t="shared" ref="C21:C33" si="2">AR4</f>
        <v>5000</v>
      </c>
      <c r="D21" s="50">
        <v>1000</v>
      </c>
      <c r="G21" s="68"/>
      <c r="H21" s="69"/>
      <c r="I21" s="69"/>
      <c r="J21" s="69"/>
      <c r="K21" s="69"/>
      <c r="L21" s="68"/>
    </row>
    <row r="22" spans="1:44">
      <c r="A22" s="18">
        <v>3</v>
      </c>
      <c r="B22" s="18" t="s">
        <v>27</v>
      </c>
      <c r="C22" s="18">
        <f t="shared" si="2"/>
        <v>300</v>
      </c>
      <c r="D22" s="50">
        <v>1000</v>
      </c>
      <c r="G22" s="68"/>
      <c r="H22" s="72"/>
      <c r="I22" s="73"/>
      <c r="J22" s="73"/>
      <c r="K22" s="74"/>
      <c r="L22" s="68"/>
    </row>
    <row r="23" spans="1:44">
      <c r="A23" s="18">
        <v>4</v>
      </c>
      <c r="B23" s="18" t="s">
        <v>28</v>
      </c>
      <c r="C23" s="18">
        <f t="shared" si="2"/>
        <v>6875</v>
      </c>
      <c r="D23" s="50">
        <v>1500</v>
      </c>
      <c r="G23" s="68"/>
      <c r="H23" s="75"/>
      <c r="I23" s="70"/>
      <c r="J23" s="70"/>
      <c r="K23" s="76"/>
      <c r="L23" s="68"/>
    </row>
    <row r="24" spans="1:44">
      <c r="A24" s="18">
        <v>5</v>
      </c>
      <c r="B24" s="18" t="s">
        <v>29</v>
      </c>
      <c r="C24" s="18">
        <f t="shared" si="2"/>
        <v>575</v>
      </c>
      <c r="D24" s="50">
        <v>500</v>
      </c>
      <c r="G24" s="68"/>
      <c r="H24" s="75"/>
      <c r="I24" s="70"/>
      <c r="J24" s="71"/>
      <c r="K24" s="77"/>
      <c r="L24" s="68"/>
    </row>
    <row r="25" spans="1:44">
      <c r="A25" s="18">
        <v>6</v>
      </c>
      <c r="B25" s="18" t="s">
        <v>30</v>
      </c>
      <c r="C25" s="18">
        <f t="shared" si="2"/>
        <v>2825</v>
      </c>
      <c r="D25" s="50">
        <v>500</v>
      </c>
      <c r="G25" s="68"/>
      <c r="H25" s="75"/>
      <c r="I25" s="71"/>
      <c r="J25" s="71"/>
      <c r="K25" s="77"/>
      <c r="L25" s="68"/>
    </row>
    <row r="26" spans="1:44">
      <c r="A26" s="18">
        <v>7</v>
      </c>
      <c r="B26" s="18" t="s">
        <v>31</v>
      </c>
      <c r="C26" s="18">
        <f t="shared" si="2"/>
        <v>200</v>
      </c>
      <c r="D26" s="50">
        <v>200</v>
      </c>
      <c r="G26" s="68"/>
      <c r="H26" s="78"/>
      <c r="I26" s="79"/>
      <c r="J26" s="79"/>
      <c r="K26" s="80"/>
      <c r="L26" s="68"/>
    </row>
    <row r="27" spans="1:44">
      <c r="A27" s="18">
        <v>8</v>
      </c>
      <c r="B27" s="18" t="s">
        <v>33</v>
      </c>
      <c r="C27" s="18">
        <f t="shared" si="2"/>
        <v>2650</v>
      </c>
      <c r="D27" s="50">
        <v>500</v>
      </c>
      <c r="G27" s="68"/>
      <c r="H27" s="68"/>
      <c r="I27" s="68"/>
      <c r="J27" s="68"/>
      <c r="K27" s="68"/>
      <c r="L27" s="68"/>
    </row>
    <row r="28" spans="1:44">
      <c r="A28" s="18">
        <v>9</v>
      </c>
      <c r="B28" s="18" t="s">
        <v>34</v>
      </c>
      <c r="C28" s="18">
        <f t="shared" si="2"/>
        <v>1600</v>
      </c>
      <c r="D28" s="50">
        <v>1000</v>
      </c>
    </row>
    <row r="29" spans="1:44">
      <c r="A29" s="18">
        <v>10</v>
      </c>
      <c r="B29" s="18" t="s">
        <v>74</v>
      </c>
      <c r="C29" s="18">
        <f t="shared" si="2"/>
        <v>0</v>
      </c>
      <c r="D29" s="50">
        <v>1000</v>
      </c>
    </row>
    <row r="30" spans="1:44">
      <c r="A30" s="18">
        <v>11</v>
      </c>
      <c r="B30" s="18" t="s">
        <v>35</v>
      </c>
      <c r="C30" s="18">
        <f t="shared" si="2"/>
        <v>4125</v>
      </c>
      <c r="D30" s="50">
        <v>1000</v>
      </c>
    </row>
    <row r="31" spans="1:44">
      <c r="A31" s="18">
        <v>12</v>
      </c>
      <c r="B31" s="18" t="s">
        <v>36</v>
      </c>
      <c r="C31" s="18">
        <f t="shared" si="2"/>
        <v>150</v>
      </c>
      <c r="D31" s="50">
        <v>100</v>
      </c>
    </row>
    <row r="32" spans="1:44">
      <c r="A32" s="18">
        <v>13</v>
      </c>
      <c r="B32" s="18" t="s">
        <v>52</v>
      </c>
      <c r="C32" s="18">
        <f t="shared" si="2"/>
        <v>350</v>
      </c>
      <c r="D32" s="50">
        <v>100</v>
      </c>
    </row>
    <row r="33" spans="1:4">
      <c r="A33" s="18">
        <v>14</v>
      </c>
      <c r="B33" s="18" t="s">
        <v>38</v>
      </c>
      <c r="C33" s="18">
        <f t="shared" si="2"/>
        <v>0</v>
      </c>
      <c r="D33" s="50">
        <v>1500</v>
      </c>
    </row>
  </sheetData>
  <mergeCells count="2">
    <mergeCell ref="A1:E1"/>
    <mergeCell ref="A17:C17"/>
  </mergeCells>
  <conditionalFormatting sqref="C1:C10 C13:C33">
    <cfRule type="expression" priority="3">
      <formula>C19&lt;B19</formula>
    </cfRule>
  </conditionalFormatting>
  <conditionalFormatting sqref="C11:C12">
    <cfRule type="expression" priority="6">
      <formula>C30&lt;B30</formula>
    </cfRule>
  </conditionalFormatting>
  <conditionalFormatting sqref="C34:C1048560">
    <cfRule type="expression" priority="2">
      <formula>C51&lt;B51</formula>
    </cfRule>
  </conditionalFormatting>
  <conditionalFormatting sqref="C1048561">
    <cfRule type="expression" priority="5">
      <formula>C1&lt;B1</formula>
    </cfRule>
  </conditionalFormatting>
  <conditionalFormatting sqref="C1048562:C1048576">
    <cfRule type="expression" priority="4">
      <formula>C1&lt;B1</formula>
    </cfRule>
  </conditionalFormatting>
  <conditionalFormatting sqref="C20:C33">
    <cfRule type="expression" dxfId="17" priority="1">
      <formula>$D20&gt;$C20</formula>
    </cfRule>
  </conditionalFormatting>
  <pageMargins left="0.7" right="0.7" top="0.75" bottom="0.75" header="0.3" footer="0.3"/>
  <pageSetup scale="6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Q33"/>
  <sheetViews>
    <sheetView zoomScaleNormal="100" workbookViewId="0">
      <pane xSplit="5" ySplit="2" topLeftCell="AF3" activePane="bottomRight" state="frozen"/>
      <selection pane="topRight" activeCell="F1" sqref="F1"/>
      <selection pane="bottomLeft" activeCell="A3" sqref="A3"/>
      <selection pane="bottomRight" activeCell="AO4" sqref="AO4"/>
    </sheetView>
  </sheetViews>
  <sheetFormatPr defaultColWidth="9" defaultRowHeight="15"/>
  <cols>
    <col min="1" max="1" width="9" style="2"/>
    <col min="2" max="2" width="33.5703125" style="2" customWidth="1"/>
    <col min="3" max="3" width="15" style="2" customWidth="1"/>
    <col min="4" max="4" width="17" style="2" bestFit="1" customWidth="1"/>
    <col min="5" max="5" width="9" style="2"/>
    <col min="6" max="6" width="11.140625" style="2" customWidth="1"/>
    <col min="7" max="7" width="10.42578125" style="2" bestFit="1" customWidth="1"/>
    <col min="8" max="42" width="11.140625" style="2" customWidth="1"/>
    <col min="43" max="43" width="9" style="2"/>
  </cols>
  <sheetData>
    <row r="1" spans="1:43" ht="30.75">
      <c r="A1" s="231" t="s">
        <v>66</v>
      </c>
      <c r="B1" s="231"/>
      <c r="C1" s="231"/>
      <c r="D1" s="231"/>
      <c r="E1" s="231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82"/>
    </row>
    <row r="2" spans="1:43" s="1" customFormat="1" ht="32.25" customHeight="1" thickBot="1">
      <c r="A2" s="5" t="s">
        <v>57</v>
      </c>
      <c r="B2" s="5" t="s">
        <v>56</v>
      </c>
      <c r="C2" s="5" t="s">
        <v>55</v>
      </c>
      <c r="D2" s="5" t="s">
        <v>54</v>
      </c>
      <c r="E2" s="84" t="s">
        <v>118</v>
      </c>
      <c r="F2" s="6">
        <v>45870</v>
      </c>
      <c r="G2" s="6">
        <v>45871</v>
      </c>
      <c r="H2" s="6">
        <v>45872</v>
      </c>
      <c r="I2" s="6">
        <v>45873</v>
      </c>
      <c r="J2" s="6">
        <v>45874</v>
      </c>
      <c r="K2" s="86" t="s">
        <v>120</v>
      </c>
      <c r="L2" s="6">
        <v>45875</v>
      </c>
      <c r="M2" s="6">
        <v>45876</v>
      </c>
      <c r="N2" s="6">
        <v>45877</v>
      </c>
      <c r="O2" s="6">
        <v>45878</v>
      </c>
      <c r="P2" s="85" t="s">
        <v>121</v>
      </c>
      <c r="Q2" s="6">
        <v>45879</v>
      </c>
      <c r="R2" s="6">
        <v>45880</v>
      </c>
      <c r="S2" s="85" t="s">
        <v>122</v>
      </c>
      <c r="T2" s="6">
        <v>45881</v>
      </c>
      <c r="U2" s="6">
        <v>45882</v>
      </c>
      <c r="V2" s="6">
        <v>45883</v>
      </c>
      <c r="W2" s="85" t="s">
        <v>124</v>
      </c>
      <c r="X2" s="6">
        <v>45884</v>
      </c>
      <c r="Y2" s="6">
        <v>45885</v>
      </c>
      <c r="Z2" s="6">
        <v>45886</v>
      </c>
      <c r="AA2" s="6">
        <v>45887</v>
      </c>
      <c r="AB2" s="6">
        <v>45888</v>
      </c>
      <c r="AC2" s="6">
        <v>45889</v>
      </c>
      <c r="AD2" s="85" t="s">
        <v>125</v>
      </c>
      <c r="AE2" s="6">
        <v>45890</v>
      </c>
      <c r="AF2" s="6">
        <v>45891</v>
      </c>
      <c r="AG2" s="85" t="s">
        <v>126</v>
      </c>
      <c r="AH2" s="6">
        <v>45892</v>
      </c>
      <c r="AI2" s="6">
        <v>45893</v>
      </c>
      <c r="AJ2" s="6">
        <v>45894</v>
      </c>
      <c r="AK2" s="6">
        <v>45895</v>
      </c>
      <c r="AL2" s="85" t="s">
        <v>127</v>
      </c>
      <c r="AM2" s="6">
        <v>45896</v>
      </c>
      <c r="AN2" s="6">
        <v>45897</v>
      </c>
      <c r="AO2" s="6">
        <v>45898</v>
      </c>
      <c r="AP2" s="6">
        <v>45899</v>
      </c>
      <c r="AQ2" s="5" t="s">
        <v>5</v>
      </c>
    </row>
    <row r="3" spans="1:43" ht="15.75" thickBot="1">
      <c r="A3" s="18">
        <v>1</v>
      </c>
      <c r="B3" s="18" t="s">
        <v>32</v>
      </c>
      <c r="C3" s="18" t="s">
        <v>0</v>
      </c>
      <c r="D3" s="18" t="s">
        <v>1</v>
      </c>
      <c r="E3" s="18">
        <v>2800</v>
      </c>
      <c r="F3" s="19"/>
      <c r="G3" s="19"/>
      <c r="H3" s="19"/>
      <c r="I3" s="19">
        <v>200</v>
      </c>
      <c r="J3" s="39">
        <v>650</v>
      </c>
      <c r="K3" s="87">
        <v>5000</v>
      </c>
      <c r="L3" s="45">
        <v>650</v>
      </c>
      <c r="M3" s="19">
        <v>650</v>
      </c>
      <c r="N3" s="19">
        <v>425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>
        <v>500</v>
      </c>
      <c r="AB3" s="19"/>
      <c r="AC3" s="19"/>
      <c r="AD3" s="19"/>
      <c r="AE3" s="19"/>
      <c r="AF3" s="19">
        <v>500</v>
      </c>
      <c r="AG3" s="19"/>
      <c r="AH3" s="60"/>
      <c r="AI3" s="19"/>
      <c r="AJ3" s="19"/>
      <c r="AK3" s="19"/>
      <c r="AL3" s="19"/>
      <c r="AM3" s="19">
        <v>475</v>
      </c>
      <c r="AN3" s="19">
        <v>1175</v>
      </c>
      <c r="AO3" s="19"/>
      <c r="AP3" s="19"/>
      <c r="AQ3" s="7">
        <f>E3-F3-G3-H3-I3-J3+K3-L3-M3-N3-O3+P3-Q3-R3+S3-T3-U3-V3+W3-X3-Y3-Z3-AA3-AB3-AC3+AD3-AE3-AF3+AG3-AH3-AI3-AJ3-AK3+AL3-AM3-AN3-AO3-AP3</f>
        <v>2575</v>
      </c>
    </row>
    <row r="4" spans="1:43" ht="15.75" thickBot="1">
      <c r="A4" s="18">
        <v>2</v>
      </c>
      <c r="B4" s="18" t="s">
        <v>26</v>
      </c>
      <c r="C4" s="18" t="s">
        <v>0</v>
      </c>
      <c r="D4" s="18" t="s">
        <v>1</v>
      </c>
      <c r="E4" s="18">
        <v>4475</v>
      </c>
      <c r="F4" s="19">
        <v>1125</v>
      </c>
      <c r="G4" s="19">
        <v>375</v>
      </c>
      <c r="H4" s="19"/>
      <c r="I4" s="19"/>
      <c r="J4" s="19">
        <v>500</v>
      </c>
      <c r="K4" s="42"/>
      <c r="L4" s="19">
        <v>400</v>
      </c>
      <c r="M4" s="19">
        <v>750</v>
      </c>
      <c r="N4" s="19">
        <v>25</v>
      </c>
      <c r="O4" s="19"/>
      <c r="P4" s="19"/>
      <c r="Q4" s="19"/>
      <c r="R4" s="19">
        <v>250</v>
      </c>
      <c r="S4" s="87">
        <v>3675</v>
      </c>
      <c r="T4" s="19">
        <v>500</v>
      </c>
      <c r="U4" s="19">
        <v>250</v>
      </c>
      <c r="V4" s="19">
        <v>375</v>
      </c>
      <c r="W4" s="19"/>
      <c r="X4" s="19"/>
      <c r="Y4" s="19">
        <v>250</v>
      </c>
      <c r="Z4" s="19"/>
      <c r="AA4" s="19"/>
      <c r="AB4" s="19">
        <v>125</v>
      </c>
      <c r="AC4" s="19">
        <v>200</v>
      </c>
      <c r="AD4" s="19"/>
      <c r="AE4" s="19">
        <v>125</v>
      </c>
      <c r="AF4" s="19">
        <v>650</v>
      </c>
      <c r="AG4" s="87">
        <v>5000</v>
      </c>
      <c r="AH4" s="60"/>
      <c r="AI4" s="19"/>
      <c r="AJ4" s="19">
        <v>850</v>
      </c>
      <c r="AK4" s="19">
        <v>250</v>
      </c>
      <c r="AL4" s="19"/>
      <c r="AM4" s="19">
        <v>375</v>
      </c>
      <c r="AN4" s="19">
        <v>375</v>
      </c>
      <c r="AO4" s="19">
        <v>275</v>
      </c>
      <c r="AP4" s="19"/>
      <c r="AQ4" s="7">
        <f t="shared" ref="AQ4:AQ16" si="0">E4-F4-G4-H4-I4-J4+K4-L4-M4-N4-O4+P4-Q4-R4+S4-T4-U4-V4+W4-X4-Y4-Z4-AA4-AB4-AC4+AD4-AE4-AF4+AG4-AH4-AI4-AJ4-AK4+AL4-AM4-AN4-AO4-AP4</f>
        <v>5125</v>
      </c>
    </row>
    <row r="5" spans="1:43" ht="15.75" thickBot="1">
      <c r="A5" s="18">
        <v>3</v>
      </c>
      <c r="B5" s="18" t="s">
        <v>27</v>
      </c>
      <c r="C5" s="18" t="s">
        <v>0</v>
      </c>
      <c r="D5" s="18" t="s">
        <v>1</v>
      </c>
      <c r="E5" s="18">
        <v>300</v>
      </c>
      <c r="F5" s="19"/>
      <c r="G5" s="19"/>
      <c r="H5" s="19"/>
      <c r="I5" s="19"/>
      <c r="J5" s="19"/>
      <c r="K5" s="19"/>
      <c r="L5" s="19"/>
      <c r="M5" s="19"/>
      <c r="N5" s="19"/>
      <c r="O5" s="19"/>
      <c r="P5" s="41"/>
      <c r="Q5" s="19"/>
      <c r="R5" s="19"/>
      <c r="S5" s="19"/>
      <c r="T5" s="19"/>
      <c r="U5" s="19"/>
      <c r="V5" s="83"/>
      <c r="W5" s="83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60"/>
      <c r="AI5" s="19"/>
      <c r="AJ5" s="19"/>
      <c r="AK5" s="19"/>
      <c r="AL5" s="19"/>
      <c r="AM5" s="19"/>
      <c r="AN5" s="19"/>
      <c r="AO5" s="19"/>
      <c r="AP5" s="19"/>
      <c r="AQ5" s="7">
        <f t="shared" si="0"/>
        <v>300</v>
      </c>
    </row>
    <row r="6" spans="1:43" ht="15.75" thickBot="1">
      <c r="A6" s="18">
        <v>4</v>
      </c>
      <c r="B6" s="18" t="s">
        <v>28</v>
      </c>
      <c r="C6" s="18" t="s">
        <v>0</v>
      </c>
      <c r="D6" s="18" t="s">
        <v>1</v>
      </c>
      <c r="E6" s="62">
        <v>6550</v>
      </c>
      <c r="F6" s="40">
        <v>1625</v>
      </c>
      <c r="G6" s="19">
        <v>1100</v>
      </c>
      <c r="H6" s="19"/>
      <c r="I6" s="19">
        <v>1225</v>
      </c>
      <c r="J6" s="19">
        <v>900</v>
      </c>
      <c r="K6" s="19"/>
      <c r="L6" s="19">
        <v>875</v>
      </c>
      <c r="M6" s="19">
        <v>500</v>
      </c>
      <c r="N6" s="19">
        <v>425</v>
      </c>
      <c r="O6" s="39"/>
      <c r="P6" s="87">
        <v>2925</v>
      </c>
      <c r="Q6" s="40"/>
      <c r="R6" s="19">
        <v>1050</v>
      </c>
      <c r="S6" s="19"/>
      <c r="T6" s="19">
        <v>1125</v>
      </c>
      <c r="U6" s="19">
        <v>375</v>
      </c>
      <c r="V6" s="19">
        <v>250</v>
      </c>
      <c r="W6" s="87">
        <v>5000</v>
      </c>
      <c r="X6" s="19"/>
      <c r="Y6" s="19">
        <v>300</v>
      </c>
      <c r="Z6" s="19"/>
      <c r="AA6" s="19">
        <v>800</v>
      </c>
      <c r="AB6" s="19">
        <v>600</v>
      </c>
      <c r="AC6" s="19">
        <v>1850</v>
      </c>
      <c r="AD6" s="19"/>
      <c r="AE6" s="19"/>
      <c r="AF6" s="19">
        <v>775</v>
      </c>
      <c r="AG6" s="87">
        <v>4000</v>
      </c>
      <c r="AH6" s="60">
        <v>1375</v>
      </c>
      <c r="AI6" s="19"/>
      <c r="AJ6" s="19">
        <v>1250</v>
      </c>
      <c r="AK6" s="19">
        <v>800</v>
      </c>
      <c r="AL6" s="87">
        <v>20000</v>
      </c>
      <c r="AM6" s="19">
        <v>675</v>
      </c>
      <c r="AN6" s="19">
        <v>625</v>
      </c>
      <c r="AO6" s="19">
        <v>475</v>
      </c>
      <c r="AP6" s="19">
        <v>625</v>
      </c>
      <c r="AQ6" s="7">
        <f t="shared" si="0"/>
        <v>18875</v>
      </c>
    </row>
    <row r="7" spans="1:43">
      <c r="A7" s="18">
        <v>5</v>
      </c>
      <c r="B7" s="18" t="s">
        <v>106</v>
      </c>
      <c r="C7" s="18" t="s">
        <v>2</v>
      </c>
      <c r="D7" s="18" t="s">
        <v>1</v>
      </c>
      <c r="E7" s="18">
        <v>800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42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>
        <v>575</v>
      </c>
      <c r="AD7" s="19"/>
      <c r="AE7" s="19"/>
      <c r="AF7" s="19"/>
      <c r="AG7" s="19"/>
      <c r="AH7" s="60"/>
      <c r="AI7" s="19"/>
      <c r="AJ7" s="19"/>
      <c r="AK7" s="19"/>
      <c r="AL7" s="19"/>
      <c r="AM7" s="19"/>
      <c r="AN7" s="19"/>
      <c r="AO7" s="19"/>
      <c r="AP7" s="19"/>
      <c r="AQ7" s="7">
        <f t="shared" si="0"/>
        <v>225</v>
      </c>
    </row>
    <row r="8" spans="1:43">
      <c r="A8" s="18">
        <v>6</v>
      </c>
      <c r="B8" s="18" t="s">
        <v>30</v>
      </c>
      <c r="C8" s="18" t="s">
        <v>2</v>
      </c>
      <c r="D8" s="18" t="s">
        <v>1</v>
      </c>
      <c r="E8" s="18">
        <v>2725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>
        <v>2725</v>
      </c>
      <c r="AD8" s="19"/>
      <c r="AE8" s="19"/>
      <c r="AF8" s="19"/>
      <c r="AG8" s="19"/>
      <c r="AH8" s="60"/>
      <c r="AI8" s="19"/>
      <c r="AJ8" s="19"/>
      <c r="AK8" s="19"/>
      <c r="AL8" s="19"/>
      <c r="AM8" s="19"/>
      <c r="AN8" s="19"/>
      <c r="AO8" s="19"/>
      <c r="AP8" s="19"/>
      <c r="AQ8" s="7">
        <f t="shared" si="0"/>
        <v>0</v>
      </c>
    </row>
    <row r="9" spans="1:43" ht="15.75" thickBot="1">
      <c r="A9" s="18">
        <v>7</v>
      </c>
      <c r="B9" s="18" t="s">
        <v>31</v>
      </c>
      <c r="C9" s="18" t="s">
        <v>2</v>
      </c>
      <c r="D9" s="18" t="s">
        <v>1</v>
      </c>
      <c r="E9" s="18">
        <v>200</v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>
        <v>100</v>
      </c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60"/>
      <c r="AI9" s="19"/>
      <c r="AJ9" s="19">
        <v>50</v>
      </c>
      <c r="AK9" s="19"/>
      <c r="AL9" s="19"/>
      <c r="AM9" s="19">
        <v>50</v>
      </c>
      <c r="AN9" s="19"/>
      <c r="AO9" s="19"/>
      <c r="AP9" s="19"/>
      <c r="AQ9" s="7">
        <f t="shared" si="0"/>
        <v>0</v>
      </c>
    </row>
    <row r="10" spans="1:43" ht="15.75" thickBot="1">
      <c r="A10" s="18">
        <v>8</v>
      </c>
      <c r="B10" s="18" t="s">
        <v>33</v>
      </c>
      <c r="C10" s="18" t="s">
        <v>2</v>
      </c>
      <c r="D10" s="18" t="s">
        <v>1</v>
      </c>
      <c r="E10" s="18">
        <v>2625</v>
      </c>
      <c r="F10" s="19">
        <v>225</v>
      </c>
      <c r="G10" s="19">
        <v>300</v>
      </c>
      <c r="H10" s="19"/>
      <c r="I10" s="19">
        <v>350</v>
      </c>
      <c r="J10" s="19">
        <v>375</v>
      </c>
      <c r="K10" s="19"/>
      <c r="L10" s="19">
        <v>150</v>
      </c>
      <c r="M10" s="19">
        <v>450</v>
      </c>
      <c r="N10" s="19">
        <v>250</v>
      </c>
      <c r="O10" s="19"/>
      <c r="P10" s="19"/>
      <c r="Q10" s="19"/>
      <c r="R10" s="19">
        <v>250</v>
      </c>
      <c r="S10" s="87">
        <v>2500</v>
      </c>
      <c r="T10" s="19">
        <v>150</v>
      </c>
      <c r="U10" s="19">
        <v>700</v>
      </c>
      <c r="V10" s="19">
        <v>700</v>
      </c>
      <c r="W10" s="19"/>
      <c r="X10" s="19"/>
      <c r="Y10" s="19">
        <v>875</v>
      </c>
      <c r="Z10" s="19"/>
      <c r="AA10" s="19">
        <v>100</v>
      </c>
      <c r="AB10" s="19"/>
      <c r="AC10" s="19"/>
      <c r="AD10" s="19"/>
      <c r="AE10" s="19"/>
      <c r="AF10" s="19"/>
      <c r="AG10" s="19"/>
      <c r="AH10" s="60"/>
      <c r="AI10" s="19"/>
      <c r="AJ10" s="19"/>
      <c r="AK10" s="19"/>
      <c r="AL10" s="19"/>
      <c r="AM10" s="19"/>
      <c r="AN10" s="19"/>
      <c r="AO10" s="19"/>
      <c r="AP10" s="19"/>
      <c r="AQ10" s="7">
        <f t="shared" si="0"/>
        <v>250</v>
      </c>
    </row>
    <row r="11" spans="1:43">
      <c r="A11" s="18">
        <v>9</v>
      </c>
      <c r="B11" s="18" t="s">
        <v>34</v>
      </c>
      <c r="C11" s="18" t="s">
        <v>2</v>
      </c>
      <c r="D11" s="18" t="s">
        <v>1</v>
      </c>
      <c r="E11" s="18">
        <v>1600</v>
      </c>
      <c r="F11" s="19"/>
      <c r="G11" s="19"/>
      <c r="H11" s="40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>
        <v>250</v>
      </c>
      <c r="AD11" s="19"/>
      <c r="AE11" s="19"/>
      <c r="AF11" s="19"/>
      <c r="AG11" s="19"/>
      <c r="AH11" s="60"/>
      <c r="AI11" s="19"/>
      <c r="AJ11" s="19"/>
      <c r="AK11" s="19"/>
      <c r="AL11" s="19"/>
      <c r="AM11" s="19"/>
      <c r="AN11" s="19"/>
      <c r="AO11" s="19"/>
      <c r="AP11" s="19"/>
      <c r="AQ11" s="7">
        <f t="shared" si="0"/>
        <v>1350</v>
      </c>
    </row>
    <row r="12" spans="1:43" ht="15.75" thickBot="1">
      <c r="A12" s="18">
        <v>10</v>
      </c>
      <c r="B12" s="18" t="s">
        <v>74</v>
      </c>
      <c r="C12" s="18" t="s">
        <v>2</v>
      </c>
      <c r="D12" s="18" t="s">
        <v>1</v>
      </c>
      <c r="E12" s="18">
        <v>0</v>
      </c>
      <c r="F12" s="19"/>
      <c r="G12" s="19"/>
      <c r="H12" s="40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60"/>
      <c r="AI12" s="19"/>
      <c r="AJ12" s="19"/>
      <c r="AK12" s="19"/>
      <c r="AL12" s="19"/>
      <c r="AM12" s="19"/>
      <c r="AN12" s="19"/>
      <c r="AO12" s="19"/>
      <c r="AP12" s="19"/>
      <c r="AQ12" s="7">
        <f t="shared" si="0"/>
        <v>0</v>
      </c>
    </row>
    <row r="13" spans="1:43" ht="15.75" thickBot="1">
      <c r="A13" s="18">
        <v>11</v>
      </c>
      <c r="B13" s="18" t="s">
        <v>35</v>
      </c>
      <c r="C13" s="18" t="s">
        <v>3</v>
      </c>
      <c r="D13" s="18" t="s">
        <v>1</v>
      </c>
      <c r="E13" s="18">
        <v>4050</v>
      </c>
      <c r="F13" s="19">
        <v>300</v>
      </c>
      <c r="G13" s="19">
        <v>525</v>
      </c>
      <c r="H13" s="19"/>
      <c r="I13" s="19">
        <v>250</v>
      </c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>
        <v>200</v>
      </c>
      <c r="V13" s="19">
        <v>400</v>
      </c>
      <c r="W13" s="19"/>
      <c r="X13" s="19"/>
      <c r="Y13" s="19">
        <v>350</v>
      </c>
      <c r="Z13" s="19"/>
      <c r="AA13" s="19">
        <v>850</v>
      </c>
      <c r="AB13" s="19">
        <v>400</v>
      </c>
      <c r="AC13" s="19">
        <v>200</v>
      </c>
      <c r="AD13" s="87">
        <v>1975</v>
      </c>
      <c r="AE13" s="19"/>
      <c r="AF13" s="19"/>
      <c r="AG13" s="19"/>
      <c r="AH13" s="60"/>
      <c r="AI13" s="19"/>
      <c r="AJ13" s="19">
        <v>275</v>
      </c>
      <c r="AK13" s="19">
        <v>300</v>
      </c>
      <c r="AL13" s="19"/>
      <c r="AM13" s="19">
        <v>150</v>
      </c>
      <c r="AN13" s="19">
        <v>175</v>
      </c>
      <c r="AO13" s="19">
        <v>375</v>
      </c>
      <c r="AP13" s="19">
        <v>125</v>
      </c>
      <c r="AQ13" s="7">
        <f t="shared" si="0"/>
        <v>1150</v>
      </c>
    </row>
    <row r="14" spans="1:43">
      <c r="A14" s="18">
        <v>12</v>
      </c>
      <c r="B14" s="18" t="s">
        <v>36</v>
      </c>
      <c r="C14" s="18" t="s">
        <v>2</v>
      </c>
      <c r="D14" s="18" t="s">
        <v>1</v>
      </c>
      <c r="E14" s="18">
        <v>150</v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60"/>
      <c r="AI14" s="19"/>
      <c r="AJ14" s="19"/>
      <c r="AK14" s="19"/>
      <c r="AL14" s="19"/>
      <c r="AM14" s="19"/>
      <c r="AN14" s="19"/>
      <c r="AO14" s="19"/>
      <c r="AP14" s="19"/>
      <c r="AQ14" s="7">
        <f t="shared" si="0"/>
        <v>150</v>
      </c>
    </row>
    <row r="15" spans="1:43">
      <c r="A15" s="18">
        <v>13</v>
      </c>
      <c r="B15" s="18" t="s">
        <v>52</v>
      </c>
      <c r="C15" s="18" t="s">
        <v>37</v>
      </c>
      <c r="D15" s="18" t="s">
        <v>1</v>
      </c>
      <c r="E15" s="18">
        <v>350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60"/>
      <c r="AI15" s="19"/>
      <c r="AJ15" s="19"/>
      <c r="AK15" s="19"/>
      <c r="AL15" s="19"/>
      <c r="AM15" s="19"/>
      <c r="AN15" s="19"/>
      <c r="AO15" s="19"/>
      <c r="AP15" s="19"/>
      <c r="AQ15" s="7">
        <f t="shared" si="0"/>
        <v>350</v>
      </c>
    </row>
    <row r="16" spans="1:43">
      <c r="A16" s="18">
        <v>14</v>
      </c>
      <c r="B16" s="18" t="s">
        <v>38</v>
      </c>
      <c r="C16" s="18" t="s">
        <v>6</v>
      </c>
      <c r="D16" s="18" t="s">
        <v>1</v>
      </c>
      <c r="E16" s="18">
        <v>0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60"/>
      <c r="AI16" s="19"/>
      <c r="AJ16" s="19"/>
      <c r="AK16" s="19"/>
      <c r="AL16" s="19"/>
      <c r="AM16" s="19"/>
      <c r="AN16" s="19"/>
      <c r="AO16" s="19"/>
      <c r="AP16" s="19"/>
      <c r="AQ16" s="7">
        <f t="shared" si="0"/>
        <v>0</v>
      </c>
    </row>
    <row r="17" spans="1:43" ht="15.75">
      <c r="A17" s="228"/>
      <c r="B17" s="229"/>
      <c r="C17" s="230"/>
      <c r="D17" s="16" t="s">
        <v>51</v>
      </c>
      <c r="E17" s="15">
        <f>SUM(E3:E16)</f>
        <v>26625</v>
      </c>
      <c r="F17" s="15">
        <f>SUM(F3:F16)</f>
        <v>3275</v>
      </c>
      <c r="G17" s="15">
        <f t="shared" ref="G17:AP17" si="1">SUM(G3:G16)</f>
        <v>2300</v>
      </c>
      <c r="H17" s="15">
        <f t="shared" si="1"/>
        <v>0</v>
      </c>
      <c r="I17" s="15">
        <f t="shared" si="1"/>
        <v>2025</v>
      </c>
      <c r="J17" s="15">
        <f t="shared" si="1"/>
        <v>2425</v>
      </c>
      <c r="K17" s="15"/>
      <c r="L17" s="15">
        <f t="shared" si="1"/>
        <v>2075</v>
      </c>
      <c r="M17" s="15">
        <f t="shared" si="1"/>
        <v>2350</v>
      </c>
      <c r="N17" s="15">
        <f t="shared" si="1"/>
        <v>1125</v>
      </c>
      <c r="O17" s="15">
        <f t="shared" si="1"/>
        <v>0</v>
      </c>
      <c r="P17" s="15"/>
      <c r="Q17" s="15">
        <f t="shared" si="1"/>
        <v>0</v>
      </c>
      <c r="R17" s="15">
        <f t="shared" si="1"/>
        <v>1550</v>
      </c>
      <c r="S17" s="15"/>
      <c r="T17" s="15">
        <f t="shared" si="1"/>
        <v>1775</v>
      </c>
      <c r="U17" s="15">
        <f t="shared" si="1"/>
        <v>1625</v>
      </c>
      <c r="V17" s="15">
        <v>1175</v>
      </c>
      <c r="W17" s="15"/>
      <c r="X17" s="15">
        <f t="shared" si="1"/>
        <v>0</v>
      </c>
      <c r="Y17" s="15">
        <f t="shared" si="1"/>
        <v>1775</v>
      </c>
      <c r="Z17" s="15">
        <f t="shared" si="1"/>
        <v>0</v>
      </c>
      <c r="AA17" s="15">
        <f t="shared" si="1"/>
        <v>2250</v>
      </c>
      <c r="AB17" s="15">
        <f t="shared" si="1"/>
        <v>1125</v>
      </c>
      <c r="AC17" s="15">
        <f t="shared" si="1"/>
        <v>5800</v>
      </c>
      <c r="AD17" s="15"/>
      <c r="AE17" s="15">
        <f t="shared" si="1"/>
        <v>125</v>
      </c>
      <c r="AF17" s="15">
        <f t="shared" si="1"/>
        <v>1925</v>
      </c>
      <c r="AG17" s="15"/>
      <c r="AH17" s="15">
        <f t="shared" si="1"/>
        <v>1375</v>
      </c>
      <c r="AI17" s="15">
        <f t="shared" si="1"/>
        <v>0</v>
      </c>
      <c r="AJ17" s="15">
        <f t="shared" si="1"/>
        <v>2425</v>
      </c>
      <c r="AK17" s="15">
        <f t="shared" si="1"/>
        <v>1350</v>
      </c>
      <c r="AL17" s="15"/>
      <c r="AM17" s="15">
        <f t="shared" si="1"/>
        <v>1725</v>
      </c>
      <c r="AN17" s="15">
        <f t="shared" si="1"/>
        <v>2350</v>
      </c>
      <c r="AO17" s="15">
        <f t="shared" si="1"/>
        <v>1125</v>
      </c>
      <c r="AP17" s="15">
        <f t="shared" si="1"/>
        <v>750</v>
      </c>
      <c r="AQ17" s="15"/>
    </row>
    <row r="18" spans="1:43" ht="15.75">
      <c r="A18" s="21"/>
      <c r="B18" s="21"/>
      <c r="C18" s="21"/>
      <c r="D18" s="54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</row>
    <row r="19" spans="1:43" ht="15.75">
      <c r="A19" s="51"/>
      <c r="B19" s="51" t="s">
        <v>8</v>
      </c>
      <c r="C19" s="51" t="s">
        <v>67</v>
      </c>
      <c r="D19" s="51" t="s">
        <v>68</v>
      </c>
    </row>
    <row r="20" spans="1:43">
      <c r="A20" s="18">
        <v>1</v>
      </c>
      <c r="B20" s="18" t="s">
        <v>32</v>
      </c>
      <c r="C20" s="18">
        <f>AQ3</f>
        <v>2575</v>
      </c>
      <c r="D20" s="50">
        <v>1000</v>
      </c>
    </row>
    <row r="21" spans="1:43">
      <c r="A21" s="18">
        <v>2</v>
      </c>
      <c r="B21" s="18" t="s">
        <v>26</v>
      </c>
      <c r="C21" s="18">
        <f t="shared" ref="C21:C33" si="2">AQ4</f>
        <v>5125</v>
      </c>
      <c r="D21" s="50">
        <v>1000</v>
      </c>
      <c r="F21" s="68"/>
      <c r="G21" s="69"/>
      <c r="H21" s="69"/>
      <c r="I21" s="69"/>
      <c r="J21" s="68"/>
      <c r="K21" s="68"/>
    </row>
    <row r="22" spans="1:43">
      <c r="A22" s="18">
        <v>3</v>
      </c>
      <c r="B22" s="18" t="s">
        <v>27</v>
      </c>
      <c r="C22" s="18">
        <f t="shared" si="2"/>
        <v>300</v>
      </c>
      <c r="D22" s="50">
        <v>1000</v>
      </c>
      <c r="F22" s="68"/>
      <c r="G22" s="72"/>
      <c r="H22" s="73"/>
      <c r="I22" s="73"/>
      <c r="J22" s="68"/>
      <c r="K22" s="68"/>
    </row>
    <row r="23" spans="1:43">
      <c r="A23" s="18">
        <v>4</v>
      </c>
      <c r="B23" s="18" t="s">
        <v>28</v>
      </c>
      <c r="C23" s="18">
        <f t="shared" si="2"/>
        <v>18875</v>
      </c>
      <c r="D23" s="50">
        <v>1500</v>
      </c>
      <c r="F23" s="68"/>
      <c r="G23" s="75"/>
      <c r="H23" s="70"/>
      <c r="I23" s="70"/>
      <c r="J23" s="68"/>
      <c r="K23" s="68"/>
    </row>
    <row r="24" spans="1:43">
      <c r="A24" s="18">
        <v>5</v>
      </c>
      <c r="B24" s="18" t="s">
        <v>29</v>
      </c>
      <c r="C24" s="18">
        <f t="shared" si="2"/>
        <v>225</v>
      </c>
      <c r="D24" s="50">
        <v>500</v>
      </c>
      <c r="F24" s="68"/>
      <c r="G24" s="75"/>
      <c r="H24" s="70"/>
      <c r="I24" s="71"/>
      <c r="J24" s="68"/>
      <c r="K24" s="68"/>
    </row>
    <row r="25" spans="1:43">
      <c r="A25" s="18">
        <v>6</v>
      </c>
      <c r="B25" s="18" t="s">
        <v>30</v>
      </c>
      <c r="C25" s="18">
        <f t="shared" si="2"/>
        <v>0</v>
      </c>
      <c r="D25" s="50">
        <v>500</v>
      </c>
      <c r="F25" s="68"/>
      <c r="G25" s="75"/>
      <c r="H25" s="71"/>
      <c r="I25" s="71"/>
      <c r="J25" s="68"/>
      <c r="K25" s="68"/>
    </row>
    <row r="26" spans="1:43">
      <c r="A26" s="18">
        <v>7</v>
      </c>
      <c r="B26" s="18" t="s">
        <v>31</v>
      </c>
      <c r="C26" s="18">
        <f t="shared" si="2"/>
        <v>0</v>
      </c>
      <c r="D26" s="50">
        <v>200</v>
      </c>
      <c r="F26" s="68"/>
      <c r="G26" s="78"/>
      <c r="H26" s="79"/>
      <c r="I26" s="79"/>
      <c r="J26" s="68"/>
      <c r="K26" s="68"/>
    </row>
    <row r="27" spans="1:43">
      <c r="A27" s="18">
        <v>8</v>
      </c>
      <c r="B27" s="18" t="s">
        <v>33</v>
      </c>
      <c r="C27" s="18">
        <f t="shared" si="2"/>
        <v>250</v>
      </c>
      <c r="D27" s="50">
        <v>500</v>
      </c>
      <c r="F27" s="68"/>
      <c r="G27" s="68"/>
      <c r="H27" s="68"/>
      <c r="I27" s="68"/>
      <c r="J27" s="68"/>
      <c r="K27" s="68"/>
    </row>
    <row r="28" spans="1:43">
      <c r="A28" s="18">
        <v>9</v>
      </c>
      <c r="B28" s="18" t="s">
        <v>34</v>
      </c>
      <c r="C28" s="18">
        <f t="shared" si="2"/>
        <v>1350</v>
      </c>
      <c r="D28" s="50">
        <v>1000</v>
      </c>
    </row>
    <row r="29" spans="1:43">
      <c r="A29" s="18">
        <v>10</v>
      </c>
      <c r="B29" s="18" t="s">
        <v>74</v>
      </c>
      <c r="C29" s="18">
        <f t="shared" si="2"/>
        <v>0</v>
      </c>
      <c r="D29" s="50">
        <v>1000</v>
      </c>
    </row>
    <row r="30" spans="1:43">
      <c r="A30" s="18">
        <v>11</v>
      </c>
      <c r="B30" s="18" t="s">
        <v>35</v>
      </c>
      <c r="C30" s="18">
        <f t="shared" si="2"/>
        <v>1150</v>
      </c>
      <c r="D30" s="50">
        <v>1000</v>
      </c>
    </row>
    <row r="31" spans="1:43">
      <c r="A31" s="18">
        <v>12</v>
      </c>
      <c r="B31" s="18" t="s">
        <v>36</v>
      </c>
      <c r="C31" s="18">
        <f t="shared" si="2"/>
        <v>150</v>
      </c>
      <c r="D31" s="50">
        <v>100</v>
      </c>
    </row>
    <row r="32" spans="1:43">
      <c r="A32" s="18">
        <v>13</v>
      </c>
      <c r="B32" s="18" t="s">
        <v>52</v>
      </c>
      <c r="C32" s="18">
        <f t="shared" si="2"/>
        <v>350</v>
      </c>
      <c r="D32" s="50">
        <v>100</v>
      </c>
    </row>
    <row r="33" spans="1:4">
      <c r="A33" s="18">
        <v>14</v>
      </c>
      <c r="B33" s="18" t="s">
        <v>38</v>
      </c>
      <c r="C33" s="18">
        <f t="shared" si="2"/>
        <v>0</v>
      </c>
      <c r="D33" s="50">
        <v>1500</v>
      </c>
    </row>
  </sheetData>
  <mergeCells count="2">
    <mergeCell ref="A1:E1"/>
    <mergeCell ref="A17:C17"/>
  </mergeCells>
  <conditionalFormatting sqref="C1:C10 C13:C33">
    <cfRule type="expression" priority="3">
      <formula>C19&lt;B19</formula>
    </cfRule>
  </conditionalFormatting>
  <conditionalFormatting sqref="C11:C12">
    <cfRule type="expression" priority="6">
      <formula>C30&lt;B30</formula>
    </cfRule>
  </conditionalFormatting>
  <conditionalFormatting sqref="C34:C1048560">
    <cfRule type="expression" priority="2">
      <formula>C51&lt;B51</formula>
    </cfRule>
  </conditionalFormatting>
  <conditionalFormatting sqref="C1048561">
    <cfRule type="expression" priority="5">
      <formula>C1&lt;B1</formula>
    </cfRule>
  </conditionalFormatting>
  <conditionalFormatting sqref="C1048562:C1048576">
    <cfRule type="expression" priority="4">
      <formula>C1&lt;B1</formula>
    </cfRule>
  </conditionalFormatting>
  <conditionalFormatting sqref="C20:C33">
    <cfRule type="expression" dxfId="16" priority="1">
      <formula>$D20&gt;$C20</formula>
    </cfRule>
  </conditionalFormatting>
  <pageMargins left="0.7" right="0.7" top="0.75" bottom="0.75" header="0.3" footer="0.3"/>
  <pageSetup scale="60" orientation="landscape" r:id="rId1"/>
  <ignoredErrors>
    <ignoredError sqref="H17" formulaRange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5"/>
  <sheetViews>
    <sheetView zoomScaleNormal="100" workbookViewId="0">
      <pane xSplit="5" ySplit="2" topLeftCell="AB3" activePane="bottomRight" state="frozen"/>
      <selection pane="topRight" activeCell="F1" sqref="F1"/>
      <selection pane="bottomLeft" activeCell="A3" sqref="A3"/>
      <selection pane="bottomRight" activeCell="AI7" sqref="AI7"/>
    </sheetView>
  </sheetViews>
  <sheetFormatPr defaultColWidth="9" defaultRowHeight="15"/>
  <cols>
    <col min="1" max="1" width="9" style="2"/>
    <col min="2" max="2" width="26.28515625" style="2" bestFit="1" customWidth="1"/>
    <col min="3" max="4" width="15" style="2" customWidth="1"/>
    <col min="5" max="5" width="10.85546875" style="2" customWidth="1"/>
    <col min="6" max="16" width="10.42578125" style="2" customWidth="1"/>
    <col min="17" max="36" width="10.42578125" customWidth="1"/>
  </cols>
  <sheetData>
    <row r="1" spans="1:37" ht="30.75">
      <c r="A1" s="231" t="s">
        <v>7</v>
      </c>
      <c r="B1" s="231"/>
      <c r="C1" s="231"/>
      <c r="D1" s="231"/>
      <c r="E1" s="231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38"/>
    </row>
    <row r="2" spans="1:37" s="1" customFormat="1" ht="27.95" customHeight="1">
      <c r="A2" s="5" t="s">
        <v>57</v>
      </c>
      <c r="B2" s="5" t="s">
        <v>56</v>
      </c>
      <c r="C2" s="5" t="s">
        <v>103</v>
      </c>
      <c r="D2" s="5" t="s">
        <v>54</v>
      </c>
      <c r="E2" s="84" t="s">
        <v>119</v>
      </c>
      <c r="F2" s="6">
        <v>45870</v>
      </c>
      <c r="G2" s="6">
        <v>45871</v>
      </c>
      <c r="H2" s="6">
        <v>45872</v>
      </c>
      <c r="I2" s="6">
        <v>45873</v>
      </c>
      <c r="J2" s="6">
        <v>45874</v>
      </c>
      <c r="K2" s="6">
        <v>45875</v>
      </c>
      <c r="L2" s="6">
        <v>45876</v>
      </c>
      <c r="M2" s="6">
        <v>45877</v>
      </c>
      <c r="N2" s="6">
        <v>45878</v>
      </c>
      <c r="O2" s="6">
        <v>45879</v>
      </c>
      <c r="P2" s="6">
        <v>45880</v>
      </c>
      <c r="Q2" s="6">
        <v>45881</v>
      </c>
      <c r="R2" s="85" t="s">
        <v>123</v>
      </c>
      <c r="S2" s="6">
        <v>45882</v>
      </c>
      <c r="T2" s="6">
        <v>45883</v>
      </c>
      <c r="U2" s="6">
        <v>45884</v>
      </c>
      <c r="V2" s="6">
        <v>45885</v>
      </c>
      <c r="W2" s="6">
        <v>45886</v>
      </c>
      <c r="X2" s="6">
        <v>45887</v>
      </c>
      <c r="Y2" s="6">
        <v>45888</v>
      </c>
      <c r="Z2" s="6">
        <v>45889</v>
      </c>
      <c r="AA2" s="6">
        <v>45890</v>
      </c>
      <c r="AB2" s="6">
        <v>45891</v>
      </c>
      <c r="AC2" s="6">
        <v>45892</v>
      </c>
      <c r="AD2" s="6">
        <v>45893</v>
      </c>
      <c r="AE2" s="6">
        <v>45894</v>
      </c>
      <c r="AF2" s="6">
        <v>45895</v>
      </c>
      <c r="AG2" s="6">
        <v>45896</v>
      </c>
      <c r="AH2" s="6">
        <v>45897</v>
      </c>
      <c r="AI2" s="6">
        <v>45898</v>
      </c>
      <c r="AJ2" s="6">
        <v>45899</v>
      </c>
      <c r="AK2" s="5" t="s">
        <v>5</v>
      </c>
    </row>
    <row r="3" spans="1:37">
      <c r="A3" s="18">
        <v>1</v>
      </c>
      <c r="B3" s="57" t="s">
        <v>84</v>
      </c>
      <c r="C3" s="3" t="s">
        <v>95</v>
      </c>
      <c r="D3" s="3" t="s">
        <v>1</v>
      </c>
      <c r="E3" s="7">
        <v>350</v>
      </c>
      <c r="F3" s="3"/>
      <c r="G3" s="3"/>
      <c r="H3" s="3"/>
      <c r="I3" s="3"/>
      <c r="J3" s="3"/>
      <c r="K3" s="3"/>
      <c r="L3" s="3"/>
      <c r="M3" s="3"/>
      <c r="N3" s="3"/>
      <c r="O3" s="3"/>
      <c r="P3" s="66"/>
      <c r="Q3" s="3"/>
      <c r="R3" s="3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7">
        <f>E3-F3-G3-H3-I3-J3-K3-L3-M3-N3-O3-P3-Q3+R3-S3-T3-U3-V3-W3-X3-Y3-Z3-AA3-AB3-AC3-AD3-AE3-AF3-AG3-AH3-AI3-AJ3</f>
        <v>350</v>
      </c>
    </row>
    <row r="4" spans="1:37">
      <c r="A4" s="18">
        <v>2</v>
      </c>
      <c r="B4" s="57" t="s">
        <v>97</v>
      </c>
      <c r="C4" s="57" t="s">
        <v>96</v>
      </c>
      <c r="D4" s="3" t="s">
        <v>1</v>
      </c>
      <c r="E4" s="7">
        <v>325</v>
      </c>
      <c r="F4" s="3"/>
      <c r="G4" s="3"/>
      <c r="H4" s="3"/>
      <c r="I4" s="3"/>
      <c r="J4" s="3"/>
      <c r="K4" s="3"/>
      <c r="L4" s="3">
        <v>25</v>
      </c>
      <c r="M4" s="3"/>
      <c r="N4" s="3"/>
      <c r="O4" s="3"/>
      <c r="P4" s="66"/>
      <c r="Q4" s="3"/>
      <c r="R4" s="3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7">
        <f t="shared" ref="AK4:AK15" si="0">E4-F4-G4-H4-I4-J4-K4-L4-M4-N4-O4-P4-Q4+R4-S4-T4-U4-V4-W4-X4-Y4-Z4-AA4-AB4-AC4-AD4-AE4-AF4-AG4-AH4-AI4-AJ4</f>
        <v>300</v>
      </c>
    </row>
    <row r="5" spans="1:37" ht="15.75" thickBot="1">
      <c r="A5" s="18">
        <v>3</v>
      </c>
      <c r="B5" s="57" t="s">
        <v>85</v>
      </c>
      <c r="C5" s="57" t="s">
        <v>98</v>
      </c>
      <c r="D5" s="3" t="s">
        <v>1</v>
      </c>
      <c r="E5" s="7">
        <v>450</v>
      </c>
      <c r="F5" s="3">
        <v>25</v>
      </c>
      <c r="G5" s="3">
        <v>25</v>
      </c>
      <c r="H5" s="3"/>
      <c r="I5" s="3"/>
      <c r="J5" s="3">
        <v>25</v>
      </c>
      <c r="K5" s="3"/>
      <c r="L5" s="3">
        <v>25</v>
      </c>
      <c r="M5" s="3"/>
      <c r="N5" s="3"/>
      <c r="O5" s="3"/>
      <c r="P5" s="66"/>
      <c r="Q5" s="3">
        <v>25</v>
      </c>
      <c r="R5" s="90"/>
      <c r="S5" s="49"/>
      <c r="T5" s="49">
        <v>25</v>
      </c>
      <c r="U5" s="49"/>
      <c r="V5" s="49">
        <v>25</v>
      </c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7">
        <f t="shared" si="0"/>
        <v>275</v>
      </c>
    </row>
    <row r="6" spans="1:37" ht="15.75" thickBot="1">
      <c r="A6" s="18">
        <v>4</v>
      </c>
      <c r="B6" s="57" t="s">
        <v>99</v>
      </c>
      <c r="C6" s="57" t="s">
        <v>95</v>
      </c>
      <c r="D6" s="3" t="s">
        <v>1</v>
      </c>
      <c r="E6" s="7">
        <v>200</v>
      </c>
      <c r="F6" s="3"/>
      <c r="G6" s="3">
        <v>25</v>
      </c>
      <c r="H6" s="3"/>
      <c r="I6" s="3"/>
      <c r="J6" s="3"/>
      <c r="K6" s="3"/>
      <c r="L6" s="3"/>
      <c r="M6" s="3"/>
      <c r="N6" s="3"/>
      <c r="O6" s="3"/>
      <c r="P6" s="66"/>
      <c r="Q6" s="88">
        <v>25</v>
      </c>
      <c r="R6" s="92">
        <v>500</v>
      </c>
      <c r="S6" s="89"/>
      <c r="T6" s="49">
        <v>50</v>
      </c>
      <c r="U6" s="49"/>
      <c r="V6" s="49">
        <v>25</v>
      </c>
      <c r="W6" s="49"/>
      <c r="X6" s="49">
        <v>25</v>
      </c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>
        <v>25</v>
      </c>
      <c r="AJ6" s="49"/>
      <c r="AK6" s="7">
        <f t="shared" si="0"/>
        <v>525</v>
      </c>
    </row>
    <row r="7" spans="1:37">
      <c r="A7" s="18">
        <v>5</v>
      </c>
      <c r="B7" s="57" t="s">
        <v>86</v>
      </c>
      <c r="C7" s="57" t="s">
        <v>100</v>
      </c>
      <c r="D7" s="3" t="s">
        <v>1</v>
      </c>
      <c r="E7" s="7">
        <v>100</v>
      </c>
      <c r="F7" s="3"/>
      <c r="G7" s="3"/>
      <c r="H7" s="3"/>
      <c r="I7" s="3"/>
      <c r="J7" s="3"/>
      <c r="K7" s="3"/>
      <c r="L7" s="3"/>
      <c r="M7" s="3"/>
      <c r="N7" s="3"/>
      <c r="O7" s="3"/>
      <c r="P7" s="66"/>
      <c r="Q7" s="3"/>
      <c r="R7" s="91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7">
        <f t="shared" si="0"/>
        <v>100</v>
      </c>
    </row>
    <row r="8" spans="1:37">
      <c r="A8" s="18">
        <v>6</v>
      </c>
      <c r="B8" s="57" t="s">
        <v>87</v>
      </c>
      <c r="C8" s="57" t="s">
        <v>101</v>
      </c>
      <c r="D8" s="4" t="s">
        <v>1</v>
      </c>
      <c r="E8" s="7">
        <v>100</v>
      </c>
      <c r="F8" s="3"/>
      <c r="G8" s="3"/>
      <c r="H8" s="3"/>
      <c r="I8" s="3"/>
      <c r="J8" s="3"/>
      <c r="K8" s="3"/>
      <c r="L8" s="3"/>
      <c r="M8" s="3"/>
      <c r="N8" s="3"/>
      <c r="O8" s="3"/>
      <c r="P8" s="66"/>
      <c r="Q8" s="3"/>
      <c r="R8" s="3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7">
        <f t="shared" si="0"/>
        <v>100</v>
      </c>
    </row>
    <row r="9" spans="1:37">
      <c r="A9" s="18">
        <v>7</v>
      </c>
      <c r="B9" s="57" t="s">
        <v>88</v>
      </c>
      <c r="C9" s="57" t="s">
        <v>96</v>
      </c>
      <c r="D9" s="4" t="s">
        <v>1</v>
      </c>
      <c r="E9" s="7">
        <v>250</v>
      </c>
      <c r="F9" s="3"/>
      <c r="G9" s="3"/>
      <c r="H9" s="3"/>
      <c r="I9" s="3"/>
      <c r="J9" s="3"/>
      <c r="K9" s="3"/>
      <c r="L9" s="3"/>
      <c r="M9" s="3"/>
      <c r="N9" s="3"/>
      <c r="O9" s="3"/>
      <c r="P9" s="66"/>
      <c r="Q9" s="3"/>
      <c r="R9" s="3"/>
      <c r="S9" s="49"/>
      <c r="T9" s="3"/>
      <c r="U9" s="49"/>
      <c r="V9" s="49">
        <v>25</v>
      </c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7">
        <f t="shared" si="0"/>
        <v>225</v>
      </c>
    </row>
    <row r="10" spans="1:37">
      <c r="A10" s="18">
        <v>8</v>
      </c>
      <c r="B10" s="57" t="s">
        <v>89</v>
      </c>
      <c r="C10" s="57" t="s">
        <v>96</v>
      </c>
      <c r="D10" s="4" t="s">
        <v>1</v>
      </c>
      <c r="E10" s="7">
        <v>100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66"/>
      <c r="Q10" s="3"/>
      <c r="R10" s="3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7">
        <f t="shared" si="0"/>
        <v>100</v>
      </c>
    </row>
    <row r="11" spans="1:37">
      <c r="A11" s="18">
        <v>9</v>
      </c>
      <c r="B11" s="59" t="s">
        <v>104</v>
      </c>
      <c r="C11" s="57" t="s">
        <v>96</v>
      </c>
      <c r="D11" s="4" t="s">
        <v>1</v>
      </c>
      <c r="E11" s="7">
        <v>150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66"/>
      <c r="Q11" s="3"/>
      <c r="R11" s="3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7">
        <f t="shared" si="0"/>
        <v>150</v>
      </c>
    </row>
    <row r="12" spans="1:37">
      <c r="A12" s="18">
        <v>10</v>
      </c>
      <c r="B12" s="57" t="s">
        <v>91</v>
      </c>
      <c r="C12" s="3" t="s">
        <v>96</v>
      </c>
      <c r="D12" s="3" t="s">
        <v>1</v>
      </c>
      <c r="E12" s="7">
        <v>100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66"/>
      <c r="Q12" s="3"/>
      <c r="R12" s="3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7">
        <f t="shared" si="0"/>
        <v>100</v>
      </c>
    </row>
    <row r="13" spans="1:37">
      <c r="A13" s="18">
        <v>13</v>
      </c>
      <c r="B13" s="57" t="s">
        <v>92</v>
      </c>
      <c r="C13" s="57" t="s">
        <v>96</v>
      </c>
      <c r="D13" s="4" t="s">
        <v>1</v>
      </c>
      <c r="E13" s="7">
        <v>200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66"/>
      <c r="Q13" s="3"/>
      <c r="R13" s="3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7">
        <f t="shared" si="0"/>
        <v>200</v>
      </c>
    </row>
    <row r="14" spans="1:37">
      <c r="A14" s="3">
        <v>14</v>
      </c>
      <c r="B14" s="3" t="s">
        <v>93</v>
      </c>
      <c r="C14" s="3" t="s">
        <v>96</v>
      </c>
      <c r="D14" s="3" t="s">
        <v>1</v>
      </c>
      <c r="E14" s="7">
        <v>250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66"/>
      <c r="Q14" s="3"/>
      <c r="R14" s="3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7">
        <f t="shared" si="0"/>
        <v>250</v>
      </c>
    </row>
    <row r="15" spans="1:37">
      <c r="A15" s="3">
        <v>15</v>
      </c>
      <c r="B15" s="3" t="s">
        <v>111</v>
      </c>
      <c r="C15" s="3" t="s">
        <v>102</v>
      </c>
      <c r="D15" s="3" t="s">
        <v>1</v>
      </c>
      <c r="E15" s="7">
        <v>175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66">
        <v>25</v>
      </c>
      <c r="Q15" s="3"/>
      <c r="R15" s="3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>
        <v>25</v>
      </c>
      <c r="AG15" s="49"/>
      <c r="AH15" s="49"/>
      <c r="AI15" s="49"/>
      <c r="AJ15" s="49"/>
      <c r="AK15" s="7">
        <f t="shared" si="0"/>
        <v>125</v>
      </c>
    </row>
    <row r="19" spans="1:4" ht="30">
      <c r="A19" s="5" t="s">
        <v>57</v>
      </c>
      <c r="B19" s="5" t="s">
        <v>56</v>
      </c>
      <c r="C19" s="5" t="s">
        <v>69</v>
      </c>
      <c r="D19" s="5" t="s">
        <v>68</v>
      </c>
    </row>
    <row r="20" spans="1:4">
      <c r="A20" s="18">
        <v>1</v>
      </c>
      <c r="B20" s="57" t="s">
        <v>84</v>
      </c>
      <c r="C20" s="18">
        <f>AK3</f>
        <v>350</v>
      </c>
      <c r="D20" s="50">
        <v>200</v>
      </c>
    </row>
    <row r="21" spans="1:4">
      <c r="A21" s="18">
        <v>2</v>
      </c>
      <c r="B21" s="57" t="s">
        <v>97</v>
      </c>
      <c r="C21" s="18">
        <f t="shared" ref="C21:C32" si="1">AK4</f>
        <v>300</v>
      </c>
      <c r="D21" s="50">
        <v>100</v>
      </c>
    </row>
    <row r="22" spans="1:4">
      <c r="A22" s="18">
        <v>3</v>
      </c>
      <c r="B22" s="57" t="s">
        <v>85</v>
      </c>
      <c r="C22" s="18">
        <f t="shared" si="1"/>
        <v>275</v>
      </c>
      <c r="D22" s="50">
        <v>200</v>
      </c>
    </row>
    <row r="23" spans="1:4">
      <c r="A23" s="18">
        <v>4</v>
      </c>
      <c r="B23" s="57" t="s">
        <v>99</v>
      </c>
      <c r="C23" s="18">
        <f t="shared" si="1"/>
        <v>525</v>
      </c>
      <c r="D23" s="50">
        <v>200</v>
      </c>
    </row>
    <row r="24" spans="1:4">
      <c r="A24" s="18">
        <v>5</v>
      </c>
      <c r="B24" s="57" t="s">
        <v>86</v>
      </c>
      <c r="C24" s="18">
        <f t="shared" si="1"/>
        <v>100</v>
      </c>
      <c r="D24" s="50">
        <v>100</v>
      </c>
    </row>
    <row r="25" spans="1:4">
      <c r="A25" s="18">
        <v>6</v>
      </c>
      <c r="B25" s="57" t="s">
        <v>87</v>
      </c>
      <c r="C25" s="18">
        <f t="shared" si="1"/>
        <v>100</v>
      </c>
      <c r="D25" s="50">
        <v>25</v>
      </c>
    </row>
    <row r="26" spans="1:4">
      <c r="A26" s="18">
        <v>7</v>
      </c>
      <c r="B26" s="57" t="s">
        <v>88</v>
      </c>
      <c r="C26" s="18">
        <f t="shared" si="1"/>
        <v>225</v>
      </c>
      <c r="D26" s="50">
        <v>200</v>
      </c>
    </row>
    <row r="27" spans="1:4">
      <c r="A27" s="18">
        <v>8</v>
      </c>
      <c r="B27" s="57" t="s">
        <v>89</v>
      </c>
      <c r="C27" s="18">
        <f t="shared" si="1"/>
        <v>100</v>
      </c>
      <c r="D27" s="50">
        <v>200</v>
      </c>
    </row>
    <row r="28" spans="1:4">
      <c r="A28" s="18">
        <v>9</v>
      </c>
      <c r="B28" s="59" t="s">
        <v>104</v>
      </c>
      <c r="C28" s="18">
        <f t="shared" si="1"/>
        <v>150</v>
      </c>
      <c r="D28" s="50">
        <v>100</v>
      </c>
    </row>
    <row r="29" spans="1:4">
      <c r="A29" s="18">
        <v>10</v>
      </c>
      <c r="B29" s="57" t="s">
        <v>91</v>
      </c>
      <c r="C29" s="18">
        <f t="shared" si="1"/>
        <v>100</v>
      </c>
      <c r="D29" s="50">
        <v>0</v>
      </c>
    </row>
    <row r="30" spans="1:4">
      <c r="A30" s="18">
        <v>11</v>
      </c>
      <c r="B30" s="57" t="s">
        <v>92</v>
      </c>
      <c r="C30" s="18">
        <f t="shared" si="1"/>
        <v>200</v>
      </c>
      <c r="D30" s="50">
        <v>100</v>
      </c>
    </row>
    <row r="31" spans="1:4">
      <c r="A31" s="18">
        <v>12</v>
      </c>
      <c r="B31" s="3" t="s">
        <v>93</v>
      </c>
      <c r="C31" s="18">
        <f t="shared" si="1"/>
        <v>250</v>
      </c>
      <c r="D31" s="50">
        <v>100</v>
      </c>
    </row>
    <row r="32" spans="1:4">
      <c r="A32" s="18">
        <v>13</v>
      </c>
      <c r="B32" s="3" t="s">
        <v>111</v>
      </c>
      <c r="C32" s="18">
        <f t="shared" si="1"/>
        <v>125</v>
      </c>
      <c r="D32" s="50">
        <v>25</v>
      </c>
    </row>
    <row r="34" spans="2:4">
      <c r="B34" s="57"/>
      <c r="C34" s="57"/>
      <c r="D34" s="3"/>
    </row>
    <row r="35" spans="2:4">
      <c r="B35" s="57"/>
      <c r="C35" s="57"/>
      <c r="D35" s="3"/>
    </row>
  </sheetData>
  <mergeCells count="1">
    <mergeCell ref="A1:E1"/>
  </mergeCells>
  <conditionalFormatting sqref="C20:C32">
    <cfRule type="expression" dxfId="15" priority="1">
      <formula>$D20&gt;$C20</formula>
    </cfRule>
  </conditionalFormatting>
  <pageMargins left="0.70866141732283472" right="0.70866141732283472" top="0.74803149606299213" bottom="0.74803149606299213" header="0.31496062992125984" footer="0.31496062992125984"/>
  <pageSetup scale="12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3"/>
  <sheetViews>
    <sheetView zoomScaleNormal="100" workbookViewId="0">
      <pane xSplit="5" ySplit="2" topLeftCell="AL3" activePane="bottomRight" state="frozen"/>
      <selection pane="topRight" activeCell="F1" sqref="F1"/>
      <selection pane="bottomLeft" activeCell="A3" sqref="A3"/>
      <selection pane="bottomRight" activeCell="AT12" sqref="AT12"/>
    </sheetView>
  </sheetViews>
  <sheetFormatPr defaultColWidth="9" defaultRowHeight="15"/>
  <cols>
    <col min="1" max="1" width="9" style="2"/>
    <col min="2" max="2" width="33.5703125" style="2" customWidth="1"/>
    <col min="3" max="3" width="15" style="2" customWidth="1"/>
    <col min="4" max="4" width="17" style="2" bestFit="1" customWidth="1"/>
    <col min="5" max="5" width="9" style="2"/>
    <col min="6" max="6" width="11.140625" style="2" customWidth="1"/>
    <col min="7" max="7" width="10.42578125" style="2" bestFit="1" customWidth="1"/>
    <col min="8" max="8" width="10.42578125" style="2" customWidth="1"/>
    <col min="9" max="9" width="11.140625" style="2" customWidth="1"/>
    <col min="10" max="10" width="10.28515625" style="2" customWidth="1"/>
    <col min="11" max="14" width="11.140625" style="2" customWidth="1"/>
    <col min="15" max="15" width="10.28515625" style="2" customWidth="1"/>
    <col min="16" max="19" width="11.140625" style="2" customWidth="1"/>
    <col min="20" max="20" width="10.42578125" style="2" customWidth="1"/>
    <col min="21" max="21" width="11.140625" style="2" customWidth="1"/>
    <col min="22" max="22" width="10.42578125" style="2" customWidth="1"/>
    <col min="23" max="26" width="11.140625" style="2" customWidth="1"/>
    <col min="27" max="27" width="10.42578125" style="2" customWidth="1"/>
    <col min="28" max="28" width="11.140625" style="2" customWidth="1"/>
    <col min="29" max="29" width="10.42578125" style="2" customWidth="1"/>
    <col min="30" max="30" width="11.140625" style="2" customWidth="1"/>
    <col min="31" max="31" width="10.140625" style="2" customWidth="1"/>
    <col min="32" max="36" width="11.140625" style="2" customWidth="1"/>
    <col min="37" max="37" width="10.42578125" style="2" customWidth="1"/>
    <col min="38" max="44" width="11.140625" style="2" customWidth="1"/>
    <col min="45" max="45" width="9" style="2"/>
  </cols>
  <sheetData>
    <row r="1" spans="1:45" ht="30.75">
      <c r="A1" s="231" t="s">
        <v>66</v>
      </c>
      <c r="B1" s="231"/>
      <c r="C1" s="231"/>
      <c r="D1" s="231"/>
      <c r="E1" s="231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93"/>
    </row>
    <row r="2" spans="1:45" s="1" customFormat="1" ht="32.25" customHeight="1" thickBot="1">
      <c r="A2" s="5" t="s">
        <v>57</v>
      </c>
      <c r="B2" s="5" t="s">
        <v>56</v>
      </c>
      <c r="C2" s="5" t="s">
        <v>55</v>
      </c>
      <c r="D2" s="5" t="s">
        <v>54</v>
      </c>
      <c r="E2" s="84" t="s">
        <v>131</v>
      </c>
      <c r="F2" s="6">
        <v>45901</v>
      </c>
      <c r="G2" s="6">
        <v>45902</v>
      </c>
      <c r="H2" s="97" t="s">
        <v>129</v>
      </c>
      <c r="I2" s="6">
        <v>45903</v>
      </c>
      <c r="J2" s="97" t="s">
        <v>128</v>
      </c>
      <c r="K2" s="6">
        <v>45904</v>
      </c>
      <c r="L2" s="6">
        <v>45905</v>
      </c>
      <c r="M2" s="6">
        <v>45906</v>
      </c>
      <c r="N2" s="6">
        <v>45907</v>
      </c>
      <c r="O2" s="97" t="s">
        <v>132</v>
      </c>
      <c r="P2" s="6">
        <v>45908</v>
      </c>
      <c r="Q2" s="6">
        <v>45909</v>
      </c>
      <c r="R2" s="6">
        <v>45910</v>
      </c>
      <c r="S2" s="6">
        <v>45911</v>
      </c>
      <c r="T2" s="97" t="s">
        <v>133</v>
      </c>
      <c r="U2" s="6">
        <v>45912</v>
      </c>
      <c r="V2" s="97" t="s">
        <v>134</v>
      </c>
      <c r="W2" s="6">
        <v>45913</v>
      </c>
      <c r="X2" s="6">
        <v>45914</v>
      </c>
      <c r="Y2" s="6">
        <v>45915</v>
      </c>
      <c r="Z2" s="6">
        <v>45916</v>
      </c>
      <c r="AA2" s="97" t="s">
        <v>137</v>
      </c>
      <c r="AB2" s="6">
        <v>45917</v>
      </c>
      <c r="AC2" s="97" t="s">
        <v>138</v>
      </c>
      <c r="AD2" s="6">
        <v>45918</v>
      </c>
      <c r="AE2" s="97" t="s">
        <v>139</v>
      </c>
      <c r="AF2" s="6">
        <v>45919</v>
      </c>
      <c r="AG2" s="6">
        <v>45920</v>
      </c>
      <c r="AH2" s="6">
        <v>45921</v>
      </c>
      <c r="AI2" s="6">
        <v>45922</v>
      </c>
      <c r="AJ2" s="6">
        <v>45923</v>
      </c>
      <c r="AK2" s="97" t="s">
        <v>140</v>
      </c>
      <c r="AL2" s="6">
        <v>45924</v>
      </c>
      <c r="AM2" s="6">
        <v>45925</v>
      </c>
      <c r="AN2" s="6">
        <v>45926</v>
      </c>
      <c r="AO2" s="6">
        <v>45927</v>
      </c>
      <c r="AP2" s="6">
        <v>45928</v>
      </c>
      <c r="AQ2" s="6">
        <v>45929</v>
      </c>
      <c r="AR2" s="6">
        <v>45930</v>
      </c>
      <c r="AS2" s="5" t="s">
        <v>5</v>
      </c>
    </row>
    <row r="3" spans="1:45" ht="15.75" thickBot="1">
      <c r="A3" s="18">
        <v>1</v>
      </c>
      <c r="B3" s="18" t="s">
        <v>32</v>
      </c>
      <c r="C3" s="18" t="s">
        <v>0</v>
      </c>
      <c r="D3" s="18" t="s">
        <v>1</v>
      </c>
      <c r="E3" s="7">
        <v>2575</v>
      </c>
      <c r="F3" s="40"/>
      <c r="G3" s="19"/>
      <c r="H3" s="19"/>
      <c r="I3" s="19"/>
      <c r="J3" s="19"/>
      <c r="K3" s="19"/>
      <c r="L3" s="39"/>
      <c r="M3" s="94"/>
      <c r="N3" s="19"/>
      <c r="O3" s="19"/>
      <c r="P3" s="19">
        <v>125</v>
      </c>
      <c r="Q3" s="19">
        <v>625</v>
      </c>
      <c r="R3" s="19">
        <v>1075</v>
      </c>
      <c r="S3" s="19">
        <v>625</v>
      </c>
      <c r="T3" s="65">
        <v>5000</v>
      </c>
      <c r="U3" s="19">
        <v>375</v>
      </c>
      <c r="V3" s="19"/>
      <c r="W3" s="19">
        <v>900</v>
      </c>
      <c r="X3" s="19"/>
      <c r="Y3" s="19">
        <v>125</v>
      </c>
      <c r="Z3" s="19">
        <v>125</v>
      </c>
      <c r="AA3" s="19"/>
      <c r="AB3" s="19">
        <v>150</v>
      </c>
      <c r="AC3" s="19"/>
      <c r="AD3" s="19">
        <v>250</v>
      </c>
      <c r="AE3" s="19"/>
      <c r="AF3" s="19">
        <v>125</v>
      </c>
      <c r="AG3" s="19">
        <v>125</v>
      </c>
      <c r="AH3" s="19"/>
      <c r="AI3" s="19"/>
      <c r="AJ3" s="60"/>
      <c r="AK3" s="60"/>
      <c r="AL3" s="19"/>
      <c r="AM3" s="19"/>
      <c r="AN3" s="19"/>
      <c r="AO3" s="19"/>
      <c r="AP3" s="19"/>
      <c r="AQ3" s="19"/>
      <c r="AR3" s="19"/>
      <c r="AS3" s="7">
        <f>E3-F3-G3+H3-I3+J3-K3-L3-M3-N3+O3-P3-Q3-R3-S3+T3-U3+V3-W3-X3-Y3-Z3+AA3-AB3+AC3-AD3+AE3-AF3-AG3-AH3-AI3-AJ3+AK3-AL3-AM3-AN3-AO3-AP3-AQ3-AR3</f>
        <v>2950</v>
      </c>
    </row>
    <row r="4" spans="1:45" ht="15.75" thickBot="1">
      <c r="A4" s="18">
        <v>2</v>
      </c>
      <c r="B4" s="18" t="s">
        <v>26</v>
      </c>
      <c r="C4" s="18" t="s">
        <v>0</v>
      </c>
      <c r="D4" s="18" t="s">
        <v>1</v>
      </c>
      <c r="E4" s="7">
        <v>4900</v>
      </c>
      <c r="F4" s="40">
        <v>475</v>
      </c>
      <c r="G4" s="19">
        <v>450</v>
      </c>
      <c r="H4" s="19"/>
      <c r="I4" s="19">
        <v>75</v>
      </c>
      <c r="J4" s="19"/>
      <c r="K4" s="19">
        <v>450</v>
      </c>
      <c r="L4" s="19">
        <v>375</v>
      </c>
      <c r="M4" s="19">
        <v>800</v>
      </c>
      <c r="N4" s="19"/>
      <c r="O4" s="19"/>
      <c r="P4" s="19">
        <v>975</v>
      </c>
      <c r="Q4" s="19">
        <v>200</v>
      </c>
      <c r="R4" s="19">
        <v>275</v>
      </c>
      <c r="S4" s="19">
        <v>150</v>
      </c>
      <c r="T4" s="19"/>
      <c r="U4" s="19">
        <v>475</v>
      </c>
      <c r="V4" s="65">
        <v>5000</v>
      </c>
      <c r="W4" s="19">
        <v>250</v>
      </c>
      <c r="X4" s="19"/>
      <c r="Y4" s="19">
        <v>575</v>
      </c>
      <c r="Z4" s="19">
        <v>900</v>
      </c>
      <c r="AA4" s="19"/>
      <c r="AB4" s="19"/>
      <c r="AC4" s="19"/>
      <c r="AD4" s="19">
        <v>375</v>
      </c>
      <c r="AE4" s="19"/>
      <c r="AF4" s="19">
        <v>125</v>
      </c>
      <c r="AG4" s="19">
        <v>525</v>
      </c>
      <c r="AH4" s="19"/>
      <c r="AI4" s="19">
        <v>525</v>
      </c>
      <c r="AJ4" s="60"/>
      <c r="AK4" s="60"/>
      <c r="AL4" s="19"/>
      <c r="AM4" s="19"/>
      <c r="AN4" s="19">
        <v>450</v>
      </c>
      <c r="AO4" s="19">
        <v>750</v>
      </c>
      <c r="AP4" s="19"/>
      <c r="AQ4" s="19">
        <v>725</v>
      </c>
      <c r="AR4" s="19"/>
      <c r="AS4" s="7">
        <f t="shared" ref="AS4:AS16" si="0">E4-F4-G4+H4-I4+J4-K4-L4-M4-N4+O4-P4-Q4-R4-S4+T4-U4+V4-W4-X4-Y4-Z4+AA4-AB4+AC4-AD4+AE4-AF4-AG4-AH4-AI4-AJ4+AK4-AL4-AM4-AN4-AO4-AP4-AQ4-AR4</f>
        <v>0</v>
      </c>
    </row>
    <row r="5" spans="1:45">
      <c r="A5" s="18">
        <v>3</v>
      </c>
      <c r="B5" s="18" t="s">
        <v>27</v>
      </c>
      <c r="C5" s="18" t="s">
        <v>0</v>
      </c>
      <c r="D5" s="18" t="s">
        <v>1</v>
      </c>
      <c r="E5" s="7">
        <v>300</v>
      </c>
      <c r="F5" s="40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83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60"/>
      <c r="AK5" s="60"/>
      <c r="AL5" s="19"/>
      <c r="AM5" s="19"/>
      <c r="AN5" s="19"/>
      <c r="AO5" s="19"/>
      <c r="AP5" s="19"/>
      <c r="AQ5" s="19"/>
      <c r="AR5" s="19"/>
      <c r="AS5" s="7">
        <f t="shared" si="0"/>
        <v>300</v>
      </c>
    </row>
    <row r="6" spans="1:45">
      <c r="A6" s="18">
        <v>4</v>
      </c>
      <c r="B6" s="18" t="s">
        <v>28</v>
      </c>
      <c r="C6" s="18" t="s">
        <v>0</v>
      </c>
      <c r="D6" s="18" t="s">
        <v>1</v>
      </c>
      <c r="E6" s="7">
        <v>18875</v>
      </c>
      <c r="F6" s="40">
        <v>425</v>
      </c>
      <c r="G6" s="19">
        <v>1275</v>
      </c>
      <c r="H6" s="19"/>
      <c r="I6" s="19">
        <v>1000</v>
      </c>
      <c r="J6" s="19"/>
      <c r="K6" s="19">
        <v>1725</v>
      </c>
      <c r="L6" s="19">
        <v>650</v>
      </c>
      <c r="M6" s="19">
        <v>1150</v>
      </c>
      <c r="N6" s="19"/>
      <c r="O6" s="19"/>
      <c r="P6" s="19">
        <v>500</v>
      </c>
      <c r="Q6" s="39">
        <v>500</v>
      </c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60"/>
      <c r="AK6" s="60"/>
      <c r="AL6" s="19"/>
      <c r="AM6" s="19">
        <v>1350</v>
      </c>
      <c r="AN6" s="19">
        <v>1425</v>
      </c>
      <c r="AO6" s="19">
        <v>1475</v>
      </c>
      <c r="AP6" s="19"/>
      <c r="AQ6" s="19">
        <v>425</v>
      </c>
      <c r="AR6" s="19"/>
      <c r="AS6" s="7">
        <f t="shared" si="0"/>
        <v>6975</v>
      </c>
    </row>
    <row r="7" spans="1:45">
      <c r="A7" s="18">
        <v>5</v>
      </c>
      <c r="B7" s="18" t="s">
        <v>106</v>
      </c>
      <c r="C7" s="18" t="s">
        <v>2</v>
      </c>
      <c r="D7" s="18" t="s">
        <v>1</v>
      </c>
      <c r="E7" s="7">
        <v>225</v>
      </c>
      <c r="F7" s="40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60"/>
      <c r="AK7" s="60"/>
      <c r="AL7" s="19"/>
      <c r="AM7" s="19"/>
      <c r="AN7" s="19"/>
      <c r="AO7" s="19"/>
      <c r="AP7" s="19"/>
      <c r="AQ7" s="19"/>
      <c r="AR7" s="19"/>
      <c r="AS7" s="7">
        <f t="shared" si="0"/>
        <v>225</v>
      </c>
    </row>
    <row r="8" spans="1:45" ht="15.75" thickBot="1">
      <c r="A8" s="18">
        <v>6</v>
      </c>
      <c r="B8" s="18" t="s">
        <v>30</v>
      </c>
      <c r="C8" s="18" t="s">
        <v>2</v>
      </c>
      <c r="D8" s="18" t="s">
        <v>1</v>
      </c>
      <c r="E8" s="7">
        <v>0</v>
      </c>
      <c r="F8" s="40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60"/>
      <c r="AK8" s="60"/>
      <c r="AL8" s="19"/>
      <c r="AM8" s="19"/>
      <c r="AN8" s="19"/>
      <c r="AO8" s="19"/>
      <c r="AP8" s="19"/>
      <c r="AQ8" s="19"/>
      <c r="AR8" s="19"/>
      <c r="AS8" s="7">
        <f t="shared" si="0"/>
        <v>0</v>
      </c>
    </row>
    <row r="9" spans="1:45" ht="15.75" thickBot="1">
      <c r="A9" s="18">
        <v>7</v>
      </c>
      <c r="B9" s="18" t="s">
        <v>31</v>
      </c>
      <c r="C9" s="18" t="s">
        <v>2</v>
      </c>
      <c r="D9" s="18" t="s">
        <v>1</v>
      </c>
      <c r="E9" s="7">
        <v>0</v>
      </c>
      <c r="F9" s="40"/>
      <c r="G9" s="19"/>
      <c r="H9" s="41"/>
      <c r="I9" s="19">
        <v>50</v>
      </c>
      <c r="J9" s="65">
        <v>1000</v>
      </c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60"/>
      <c r="AK9" s="60"/>
      <c r="AL9" s="19"/>
      <c r="AM9" s="19"/>
      <c r="AN9" s="19"/>
      <c r="AO9" s="19">
        <v>25</v>
      </c>
      <c r="AP9" s="19"/>
      <c r="AQ9" s="19"/>
      <c r="AR9" s="19"/>
      <c r="AS9" s="7">
        <f t="shared" si="0"/>
        <v>925</v>
      </c>
    </row>
    <row r="10" spans="1:45" ht="15.75" thickBot="1">
      <c r="A10" s="18">
        <v>8</v>
      </c>
      <c r="B10" s="18" t="s">
        <v>33</v>
      </c>
      <c r="C10" s="18" t="s">
        <v>2</v>
      </c>
      <c r="D10" s="18" t="s">
        <v>1</v>
      </c>
      <c r="E10" s="7">
        <v>475</v>
      </c>
      <c r="F10" s="40">
        <v>100</v>
      </c>
      <c r="G10" s="39">
        <v>150</v>
      </c>
      <c r="H10" s="65">
        <v>5000</v>
      </c>
      <c r="I10" s="40">
        <v>550</v>
      </c>
      <c r="J10" s="65">
        <v>1000</v>
      </c>
      <c r="K10" s="19">
        <v>525</v>
      </c>
      <c r="L10" s="19">
        <v>525</v>
      </c>
      <c r="M10" s="19">
        <v>750</v>
      </c>
      <c r="N10" s="19"/>
      <c r="O10" s="19"/>
      <c r="P10" s="19">
        <v>750</v>
      </c>
      <c r="Q10" s="19">
        <v>525</v>
      </c>
      <c r="R10" s="19">
        <v>175</v>
      </c>
      <c r="S10" s="19">
        <v>625</v>
      </c>
      <c r="T10" s="19"/>
      <c r="U10" s="19">
        <v>125</v>
      </c>
      <c r="V10" s="19"/>
      <c r="W10" s="19">
        <v>225</v>
      </c>
      <c r="X10" s="19"/>
      <c r="Y10" s="19">
        <v>500</v>
      </c>
      <c r="Z10" s="19">
        <v>375</v>
      </c>
      <c r="AA10" s="65">
        <v>2000</v>
      </c>
      <c r="AB10" s="19">
        <v>1250</v>
      </c>
      <c r="AC10" s="19"/>
      <c r="AD10" s="19">
        <v>925</v>
      </c>
      <c r="AE10" s="65">
        <v>5000</v>
      </c>
      <c r="AF10" s="19">
        <v>400</v>
      </c>
      <c r="AG10" s="19">
        <v>550</v>
      </c>
      <c r="AH10" s="19"/>
      <c r="AI10" s="19">
        <v>500</v>
      </c>
      <c r="AJ10" s="60">
        <v>250</v>
      </c>
      <c r="AK10" s="60"/>
      <c r="AL10" s="19">
        <v>250</v>
      </c>
      <c r="AM10" s="19"/>
      <c r="AN10" s="19"/>
      <c r="AO10" s="19"/>
      <c r="AP10" s="19"/>
      <c r="AQ10" s="19">
        <v>375</v>
      </c>
      <c r="AR10" s="19">
        <v>525</v>
      </c>
      <c r="AS10" s="7">
        <f t="shared" si="0"/>
        <v>2550</v>
      </c>
    </row>
    <row r="11" spans="1:45" ht="15.75" thickBot="1">
      <c r="A11" s="18">
        <v>9</v>
      </c>
      <c r="B11" s="18" t="s">
        <v>34</v>
      </c>
      <c r="C11" s="18" t="s">
        <v>2</v>
      </c>
      <c r="D11" s="18" t="s">
        <v>1</v>
      </c>
      <c r="E11" s="7">
        <v>1350</v>
      </c>
      <c r="F11" s="40"/>
      <c r="G11" s="19"/>
      <c r="H11" s="98"/>
      <c r="I11" s="40"/>
      <c r="J11" s="40"/>
      <c r="K11" s="19"/>
      <c r="L11" s="19"/>
      <c r="M11" s="19"/>
      <c r="N11" s="19"/>
      <c r="O11" s="65">
        <v>5000</v>
      </c>
      <c r="P11" s="19">
        <v>125</v>
      </c>
      <c r="Q11" s="19">
        <v>650</v>
      </c>
      <c r="R11" s="19">
        <v>625</v>
      </c>
      <c r="S11" s="19">
        <v>500</v>
      </c>
      <c r="T11" s="19"/>
      <c r="U11" s="19">
        <v>650</v>
      </c>
      <c r="V11" s="19"/>
      <c r="W11" s="19">
        <v>1025</v>
      </c>
      <c r="X11" s="19"/>
      <c r="Y11" s="19">
        <v>700</v>
      </c>
      <c r="Z11" s="19">
        <v>550</v>
      </c>
      <c r="AA11" s="19"/>
      <c r="AB11" s="19">
        <v>250</v>
      </c>
      <c r="AC11" s="19"/>
      <c r="AD11" s="19"/>
      <c r="AE11" s="19"/>
      <c r="AF11" s="19"/>
      <c r="AG11" s="19"/>
      <c r="AH11" s="19"/>
      <c r="AI11" s="19"/>
      <c r="AJ11" s="60">
        <v>150</v>
      </c>
      <c r="AK11" s="60"/>
      <c r="AL11" s="19">
        <v>150</v>
      </c>
      <c r="AM11" s="19">
        <v>75</v>
      </c>
      <c r="AN11" s="19"/>
      <c r="AO11" s="19"/>
      <c r="AP11" s="19"/>
      <c r="AQ11" s="19"/>
      <c r="AR11" s="19"/>
      <c r="AS11" s="7">
        <f t="shared" si="0"/>
        <v>900</v>
      </c>
    </row>
    <row r="12" spans="1:45" ht="15.75" thickBot="1">
      <c r="A12" s="18">
        <v>10</v>
      </c>
      <c r="B12" s="18" t="s">
        <v>74</v>
      </c>
      <c r="C12" s="18" t="s">
        <v>2</v>
      </c>
      <c r="D12" s="18" t="s">
        <v>1</v>
      </c>
      <c r="E12" s="7">
        <v>0</v>
      </c>
      <c r="F12" s="40"/>
      <c r="G12" s="19"/>
      <c r="H12" s="40"/>
      <c r="I12" s="40"/>
      <c r="J12" s="40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60"/>
      <c r="AK12" s="60"/>
      <c r="AL12" s="19"/>
      <c r="AM12" s="19"/>
      <c r="AN12" s="19"/>
      <c r="AO12" s="19"/>
      <c r="AP12" s="19"/>
      <c r="AQ12" s="19"/>
      <c r="AR12" s="19"/>
      <c r="AS12" s="7">
        <f t="shared" si="0"/>
        <v>0</v>
      </c>
    </row>
    <row r="13" spans="1:45" ht="15.75" thickBot="1">
      <c r="A13" s="18">
        <v>11</v>
      </c>
      <c r="B13" s="18" t="s">
        <v>35</v>
      </c>
      <c r="C13" s="18" t="s">
        <v>3</v>
      </c>
      <c r="D13" s="18" t="s">
        <v>1</v>
      </c>
      <c r="E13" s="7">
        <v>1225</v>
      </c>
      <c r="F13" s="40">
        <v>300</v>
      </c>
      <c r="G13" s="19"/>
      <c r="H13" s="19"/>
      <c r="I13" s="19"/>
      <c r="J13" s="65">
        <v>2000</v>
      </c>
      <c r="K13" s="19">
        <v>600</v>
      </c>
      <c r="L13" s="19">
        <v>750</v>
      </c>
      <c r="M13" s="19">
        <v>350</v>
      </c>
      <c r="N13" s="19"/>
      <c r="O13" s="19"/>
      <c r="P13" s="19"/>
      <c r="Q13" s="19"/>
      <c r="R13" s="19">
        <v>100</v>
      </c>
      <c r="S13" s="19"/>
      <c r="T13" s="19"/>
      <c r="U13" s="19"/>
      <c r="V13" s="19"/>
      <c r="W13" s="19">
        <v>50</v>
      </c>
      <c r="X13" s="19"/>
      <c r="Y13" s="19"/>
      <c r="Z13" s="19"/>
      <c r="AA13" s="19"/>
      <c r="AB13" s="19">
        <v>500</v>
      </c>
      <c r="AC13" s="65">
        <v>2000</v>
      </c>
      <c r="AD13" s="19">
        <v>550</v>
      </c>
      <c r="AE13" s="19"/>
      <c r="AF13" s="19">
        <v>525</v>
      </c>
      <c r="AG13" s="19">
        <v>475</v>
      </c>
      <c r="AH13" s="19"/>
      <c r="AI13" s="19">
        <v>350</v>
      </c>
      <c r="AJ13" s="60">
        <v>325</v>
      </c>
      <c r="AK13" s="65">
        <v>2000</v>
      </c>
      <c r="AL13" s="19">
        <v>75</v>
      </c>
      <c r="AM13" s="19">
        <v>475</v>
      </c>
      <c r="AN13" s="19">
        <v>125</v>
      </c>
      <c r="AO13" s="19"/>
      <c r="AP13" s="19"/>
      <c r="AQ13" s="19"/>
      <c r="AR13" s="19"/>
      <c r="AS13" s="7">
        <f t="shared" si="0"/>
        <v>1675</v>
      </c>
    </row>
    <row r="14" spans="1:45">
      <c r="A14" s="18">
        <v>12</v>
      </c>
      <c r="B14" s="18" t="s">
        <v>36</v>
      </c>
      <c r="C14" s="18" t="s">
        <v>2</v>
      </c>
      <c r="D14" s="18" t="s">
        <v>1</v>
      </c>
      <c r="E14" s="7">
        <v>150</v>
      </c>
      <c r="F14" s="40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60"/>
      <c r="AK14" s="60"/>
      <c r="AL14" s="19"/>
      <c r="AM14" s="19"/>
      <c r="AN14" s="19"/>
      <c r="AO14" s="19"/>
      <c r="AP14" s="19"/>
      <c r="AQ14" s="19"/>
      <c r="AR14" s="19"/>
      <c r="AS14" s="7">
        <f t="shared" si="0"/>
        <v>150</v>
      </c>
    </row>
    <row r="15" spans="1:45">
      <c r="A15" s="18">
        <v>13</v>
      </c>
      <c r="B15" s="18" t="s">
        <v>52</v>
      </c>
      <c r="C15" s="18" t="s">
        <v>37</v>
      </c>
      <c r="D15" s="18" t="s">
        <v>1</v>
      </c>
      <c r="E15" s="7">
        <v>350</v>
      </c>
      <c r="F15" s="40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60"/>
      <c r="AK15" s="60"/>
      <c r="AL15" s="19"/>
      <c r="AM15" s="19"/>
      <c r="AN15" s="19"/>
      <c r="AO15" s="19"/>
      <c r="AP15" s="19"/>
      <c r="AQ15" s="19"/>
      <c r="AR15" s="19"/>
      <c r="AS15" s="7">
        <f t="shared" si="0"/>
        <v>350</v>
      </c>
    </row>
    <row r="16" spans="1:45">
      <c r="A16" s="18">
        <v>14</v>
      </c>
      <c r="B16" s="18" t="s">
        <v>38</v>
      </c>
      <c r="C16" s="18" t="s">
        <v>6</v>
      </c>
      <c r="D16" s="18" t="s">
        <v>1</v>
      </c>
      <c r="E16" s="7">
        <v>0</v>
      </c>
      <c r="F16" s="40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60"/>
      <c r="AK16" s="60"/>
      <c r="AL16" s="19"/>
      <c r="AM16" s="19"/>
      <c r="AN16" s="19"/>
      <c r="AO16" s="19"/>
      <c r="AP16" s="19"/>
      <c r="AQ16" s="19"/>
      <c r="AR16" s="19"/>
      <c r="AS16" s="7">
        <f t="shared" si="0"/>
        <v>0</v>
      </c>
    </row>
    <row r="17" spans="1:45" ht="15.75">
      <c r="A17" s="228"/>
      <c r="B17" s="229"/>
      <c r="C17" s="230"/>
      <c r="D17" s="16" t="s">
        <v>51</v>
      </c>
      <c r="E17" s="15">
        <f>SUM(E3:E16)</f>
        <v>30425</v>
      </c>
      <c r="F17" s="15">
        <f>SUM(F3:F16)</f>
        <v>1300</v>
      </c>
      <c r="G17" s="15">
        <f t="shared" ref="G17:AR17" si="1">SUM(G3:G16)</f>
        <v>1875</v>
      </c>
      <c r="H17" s="15"/>
      <c r="I17" s="15">
        <f t="shared" si="1"/>
        <v>1675</v>
      </c>
      <c r="J17" s="15"/>
      <c r="K17" s="15">
        <f t="shared" si="1"/>
        <v>3300</v>
      </c>
      <c r="L17" s="15">
        <f t="shared" si="1"/>
        <v>2300</v>
      </c>
      <c r="M17" s="15">
        <f t="shared" si="1"/>
        <v>3050</v>
      </c>
      <c r="N17" s="15">
        <f t="shared" si="1"/>
        <v>0</v>
      </c>
      <c r="O17" s="15"/>
      <c r="P17" s="15">
        <f t="shared" si="1"/>
        <v>2475</v>
      </c>
      <c r="Q17" s="15">
        <f t="shared" si="1"/>
        <v>2500</v>
      </c>
      <c r="R17" s="15">
        <f t="shared" si="1"/>
        <v>2250</v>
      </c>
      <c r="S17" s="15">
        <f t="shared" si="1"/>
        <v>1900</v>
      </c>
      <c r="T17" s="15"/>
      <c r="U17" s="15">
        <f t="shared" si="1"/>
        <v>1625</v>
      </c>
      <c r="V17" s="15"/>
      <c r="W17" s="15">
        <f t="shared" si="1"/>
        <v>2450</v>
      </c>
      <c r="X17" s="15">
        <f t="shared" si="1"/>
        <v>0</v>
      </c>
      <c r="Y17" s="15">
        <f t="shared" si="1"/>
        <v>1900</v>
      </c>
      <c r="Z17" s="15">
        <f t="shared" si="1"/>
        <v>1950</v>
      </c>
      <c r="AA17" s="15"/>
      <c r="AB17" s="15">
        <f t="shared" si="1"/>
        <v>2150</v>
      </c>
      <c r="AC17" s="15"/>
      <c r="AD17" s="15">
        <f t="shared" si="1"/>
        <v>2100</v>
      </c>
      <c r="AE17" s="15"/>
      <c r="AF17" s="15">
        <f t="shared" si="1"/>
        <v>1175</v>
      </c>
      <c r="AG17" s="15">
        <f t="shared" si="1"/>
        <v>1675</v>
      </c>
      <c r="AH17" s="15">
        <f t="shared" si="1"/>
        <v>0</v>
      </c>
      <c r="AI17" s="15">
        <f t="shared" si="1"/>
        <v>1375</v>
      </c>
      <c r="AJ17" s="15">
        <f t="shared" si="1"/>
        <v>725</v>
      </c>
      <c r="AK17" s="15"/>
      <c r="AL17" s="15">
        <f t="shared" si="1"/>
        <v>475</v>
      </c>
      <c r="AM17" s="15">
        <f t="shared" si="1"/>
        <v>1900</v>
      </c>
      <c r="AN17" s="15">
        <f t="shared" si="1"/>
        <v>2000</v>
      </c>
      <c r="AO17" s="15">
        <f t="shared" si="1"/>
        <v>2250</v>
      </c>
      <c r="AP17" s="15">
        <f t="shared" si="1"/>
        <v>0</v>
      </c>
      <c r="AQ17" s="15">
        <f t="shared" si="1"/>
        <v>1525</v>
      </c>
      <c r="AR17" s="15">
        <f t="shared" si="1"/>
        <v>525</v>
      </c>
      <c r="AS17" s="15"/>
    </row>
    <row r="18" spans="1:45" ht="15.75">
      <c r="A18" s="21"/>
      <c r="B18" s="21"/>
      <c r="C18" s="21"/>
      <c r="D18" s="54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</row>
    <row r="19" spans="1:45" ht="15.75">
      <c r="A19" s="51"/>
      <c r="B19" s="51" t="s">
        <v>8</v>
      </c>
      <c r="C19" s="51" t="s">
        <v>67</v>
      </c>
      <c r="D19" s="51" t="s">
        <v>68</v>
      </c>
    </row>
    <row r="20" spans="1:45">
      <c r="A20" s="18">
        <v>1</v>
      </c>
      <c r="B20" s="18" t="s">
        <v>32</v>
      </c>
      <c r="C20" s="18">
        <f>AS3</f>
        <v>2950</v>
      </c>
      <c r="D20" s="50">
        <v>1000</v>
      </c>
    </row>
    <row r="21" spans="1:45">
      <c r="A21" s="18">
        <v>2</v>
      </c>
      <c r="B21" s="18" t="s">
        <v>26</v>
      </c>
      <c r="C21" s="18">
        <f t="shared" ref="C21:C33" si="2">AS4</f>
        <v>0</v>
      </c>
      <c r="D21" s="50">
        <v>1000</v>
      </c>
      <c r="F21" s="68"/>
      <c r="G21" s="69"/>
      <c r="H21" s="69"/>
      <c r="I21" s="69"/>
      <c r="J21" s="69"/>
      <c r="K21" s="69"/>
      <c r="L21" s="68"/>
    </row>
    <row r="22" spans="1:45">
      <c r="A22" s="18">
        <v>3</v>
      </c>
      <c r="B22" s="18" t="s">
        <v>27</v>
      </c>
      <c r="C22" s="18">
        <f t="shared" si="2"/>
        <v>300</v>
      </c>
      <c r="D22" s="50">
        <v>1000</v>
      </c>
      <c r="F22" s="68"/>
      <c r="G22" s="72"/>
      <c r="H22" s="95"/>
      <c r="I22" s="73"/>
      <c r="J22" s="73"/>
      <c r="K22" s="73"/>
      <c r="L22" s="68"/>
    </row>
    <row r="23" spans="1:45">
      <c r="A23" s="18">
        <v>4</v>
      </c>
      <c r="B23" s="18" t="s">
        <v>28</v>
      </c>
      <c r="C23" s="18">
        <f t="shared" si="2"/>
        <v>6975</v>
      </c>
      <c r="D23" s="50">
        <v>1500</v>
      </c>
      <c r="F23" s="68"/>
      <c r="G23" s="75"/>
      <c r="H23" s="70"/>
      <c r="I23" s="70"/>
      <c r="J23" s="70"/>
      <c r="K23" s="70"/>
      <c r="L23" s="68"/>
    </row>
    <row r="24" spans="1:45">
      <c r="A24" s="18">
        <v>5</v>
      </c>
      <c r="B24" s="18" t="s">
        <v>29</v>
      </c>
      <c r="C24" s="18">
        <f t="shared" si="2"/>
        <v>225</v>
      </c>
      <c r="D24" s="50">
        <v>500</v>
      </c>
      <c r="F24" s="68"/>
      <c r="G24" s="75"/>
      <c r="H24" s="70"/>
      <c r="I24" s="70"/>
      <c r="J24" s="70"/>
      <c r="K24" s="71"/>
      <c r="L24" s="68"/>
    </row>
    <row r="25" spans="1:45">
      <c r="A25" s="18">
        <v>6</v>
      </c>
      <c r="B25" s="18" t="s">
        <v>30</v>
      </c>
      <c r="C25" s="18">
        <f t="shared" si="2"/>
        <v>0</v>
      </c>
      <c r="D25" s="50">
        <v>500</v>
      </c>
      <c r="F25" s="68"/>
      <c r="G25" s="75"/>
      <c r="H25" s="70"/>
      <c r="I25" s="71"/>
      <c r="J25" s="71"/>
      <c r="K25" s="71"/>
      <c r="L25" s="68"/>
    </row>
    <row r="26" spans="1:45">
      <c r="A26" s="18">
        <v>7</v>
      </c>
      <c r="B26" s="18" t="s">
        <v>31</v>
      </c>
      <c r="C26" s="18">
        <f t="shared" si="2"/>
        <v>925</v>
      </c>
      <c r="D26" s="50">
        <v>200</v>
      </c>
      <c r="F26" s="68"/>
      <c r="G26" s="78"/>
      <c r="H26" s="96"/>
      <c r="I26" s="79"/>
      <c r="J26" s="79"/>
      <c r="K26" s="79"/>
      <c r="L26" s="68"/>
    </row>
    <row r="27" spans="1:45">
      <c r="A27" s="18">
        <v>8</v>
      </c>
      <c r="B27" s="18" t="s">
        <v>33</v>
      </c>
      <c r="C27" s="18">
        <f t="shared" si="2"/>
        <v>2550</v>
      </c>
      <c r="D27" s="50">
        <v>500</v>
      </c>
      <c r="F27" s="68"/>
      <c r="G27" s="68"/>
      <c r="H27" s="68"/>
      <c r="I27" s="68"/>
      <c r="J27" s="68"/>
      <c r="K27" s="68"/>
      <c r="L27" s="68"/>
    </row>
    <row r="28" spans="1:45">
      <c r="A28" s="18">
        <v>9</v>
      </c>
      <c r="B28" s="18" t="s">
        <v>34</v>
      </c>
      <c r="C28" s="18">
        <f t="shared" si="2"/>
        <v>900</v>
      </c>
      <c r="D28" s="50">
        <v>1000</v>
      </c>
    </row>
    <row r="29" spans="1:45">
      <c r="A29" s="18">
        <v>10</v>
      </c>
      <c r="B29" s="18" t="s">
        <v>74</v>
      </c>
      <c r="C29" s="18">
        <f t="shared" si="2"/>
        <v>0</v>
      </c>
      <c r="D29" s="50">
        <v>1000</v>
      </c>
    </row>
    <row r="30" spans="1:45">
      <c r="A30" s="18">
        <v>11</v>
      </c>
      <c r="B30" s="18" t="s">
        <v>35</v>
      </c>
      <c r="C30" s="18">
        <f t="shared" si="2"/>
        <v>1675</v>
      </c>
      <c r="D30" s="50">
        <v>1000</v>
      </c>
    </row>
    <row r="31" spans="1:45">
      <c r="A31" s="18">
        <v>12</v>
      </c>
      <c r="B31" s="18" t="s">
        <v>36</v>
      </c>
      <c r="C31" s="18">
        <f t="shared" si="2"/>
        <v>150</v>
      </c>
      <c r="D31" s="50">
        <v>100</v>
      </c>
    </row>
    <row r="32" spans="1:45">
      <c r="A32" s="18">
        <v>13</v>
      </c>
      <c r="B32" s="18" t="s">
        <v>52</v>
      </c>
      <c r="C32" s="18">
        <f t="shared" si="2"/>
        <v>350</v>
      </c>
      <c r="D32" s="50">
        <v>100</v>
      </c>
    </row>
    <row r="33" spans="1:4">
      <c r="A33" s="18">
        <v>14</v>
      </c>
      <c r="B33" s="18" t="s">
        <v>38</v>
      </c>
      <c r="C33" s="18">
        <f t="shared" si="2"/>
        <v>0</v>
      </c>
      <c r="D33" s="50">
        <v>1500</v>
      </c>
    </row>
  </sheetData>
  <mergeCells count="2">
    <mergeCell ref="A1:E1"/>
    <mergeCell ref="A17:C17"/>
  </mergeCells>
  <conditionalFormatting sqref="C1:C10 C13:C33">
    <cfRule type="expression" priority="3">
      <formula>C19&lt;B19</formula>
    </cfRule>
  </conditionalFormatting>
  <conditionalFormatting sqref="C11:C12">
    <cfRule type="expression" priority="6">
      <formula>C30&lt;B30</formula>
    </cfRule>
  </conditionalFormatting>
  <conditionalFormatting sqref="C34:C1048560">
    <cfRule type="expression" priority="2">
      <formula>C51&lt;B51</formula>
    </cfRule>
  </conditionalFormatting>
  <conditionalFormatting sqref="C1048561">
    <cfRule type="expression" priority="5">
      <formula>C1&lt;B1</formula>
    </cfRule>
  </conditionalFormatting>
  <conditionalFormatting sqref="C1048562:C1048576">
    <cfRule type="expression" priority="4">
      <formula>C1&lt;B1</formula>
    </cfRule>
  </conditionalFormatting>
  <conditionalFormatting sqref="C20:C33">
    <cfRule type="expression" dxfId="14" priority="1">
      <formula>$D20&gt;$C20</formula>
    </cfRule>
  </conditionalFormatting>
  <pageMargins left="0.7" right="0.7" top="0.75" bottom="0.75" header="0.3" footer="0.3"/>
  <pageSetup scale="6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4"/>
  <sheetViews>
    <sheetView zoomScaleNormal="100" workbookViewId="0">
      <pane xSplit="5" ySplit="2" topLeftCell="AC3" activePane="bottomRight" state="frozen"/>
      <selection pane="topRight" activeCell="F1" sqref="F1"/>
      <selection pane="bottomLeft" activeCell="A3" sqref="A3"/>
      <selection pane="bottomRight" activeCell="AD10" sqref="AD10"/>
    </sheetView>
  </sheetViews>
  <sheetFormatPr defaultColWidth="9" defaultRowHeight="15"/>
  <cols>
    <col min="1" max="1" width="9" style="2"/>
    <col min="2" max="2" width="26.28515625" style="2" bestFit="1" customWidth="1"/>
    <col min="3" max="4" width="15" style="2" customWidth="1"/>
    <col min="5" max="5" width="10.85546875" style="2" customWidth="1"/>
    <col min="6" max="17" width="10.42578125" style="2" customWidth="1"/>
    <col min="18" max="37" width="10.42578125" customWidth="1"/>
  </cols>
  <sheetData>
    <row r="1" spans="1:38" ht="30.75">
      <c r="A1" s="231" t="s">
        <v>7</v>
      </c>
      <c r="B1" s="231"/>
      <c r="C1" s="231"/>
      <c r="D1" s="231"/>
      <c r="E1" s="231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38"/>
    </row>
    <row r="2" spans="1:38" s="1" customFormat="1" ht="27.95" customHeight="1">
      <c r="A2" s="5" t="s">
        <v>57</v>
      </c>
      <c r="B2" s="5" t="s">
        <v>56</v>
      </c>
      <c r="C2" s="5" t="s">
        <v>103</v>
      </c>
      <c r="D2" s="5" t="s">
        <v>54</v>
      </c>
      <c r="E2" s="84" t="s">
        <v>130</v>
      </c>
      <c r="F2" s="6">
        <v>45901</v>
      </c>
      <c r="G2" s="6">
        <v>45902</v>
      </c>
      <c r="H2" s="6">
        <v>45903</v>
      </c>
      <c r="I2" s="6">
        <v>45904</v>
      </c>
      <c r="J2" s="6">
        <v>45905</v>
      </c>
      <c r="K2" s="6">
        <v>45906</v>
      </c>
      <c r="L2" s="6">
        <v>45907</v>
      </c>
      <c r="M2" s="97" t="s">
        <v>132</v>
      </c>
      <c r="N2" s="6">
        <v>45908</v>
      </c>
      <c r="O2" s="6">
        <v>45909</v>
      </c>
      <c r="P2" s="6">
        <v>45910</v>
      </c>
      <c r="Q2" s="6">
        <v>45911</v>
      </c>
      <c r="R2" s="6">
        <v>45912</v>
      </c>
      <c r="S2" s="6">
        <v>45913</v>
      </c>
      <c r="T2" s="6">
        <v>45914</v>
      </c>
      <c r="U2" s="6">
        <v>45915</v>
      </c>
      <c r="V2" s="6">
        <v>45916</v>
      </c>
      <c r="W2" s="6">
        <v>45917</v>
      </c>
      <c r="X2" s="6">
        <v>45918</v>
      </c>
      <c r="Y2" s="6">
        <v>45888</v>
      </c>
      <c r="Z2" s="6">
        <v>45889</v>
      </c>
      <c r="AA2" s="6">
        <v>45890</v>
      </c>
      <c r="AB2" s="6">
        <v>45891</v>
      </c>
      <c r="AC2" s="6">
        <v>45892</v>
      </c>
      <c r="AD2" s="97" t="s">
        <v>140</v>
      </c>
      <c r="AE2" s="6">
        <v>45893</v>
      </c>
      <c r="AF2" s="6">
        <v>45894</v>
      </c>
      <c r="AG2" s="6">
        <v>45895</v>
      </c>
      <c r="AH2" s="6">
        <v>45896</v>
      </c>
      <c r="AI2" s="6">
        <v>45897</v>
      </c>
      <c r="AJ2" s="6">
        <v>45898</v>
      </c>
      <c r="AK2" s="6">
        <v>45899</v>
      </c>
      <c r="AL2" s="5" t="s">
        <v>5</v>
      </c>
    </row>
    <row r="3" spans="1:38">
      <c r="A3" s="18">
        <v>1</v>
      </c>
      <c r="B3" s="57" t="s">
        <v>84</v>
      </c>
      <c r="C3" s="3" t="s">
        <v>95</v>
      </c>
      <c r="D3" s="3" t="s">
        <v>1</v>
      </c>
      <c r="E3" s="7">
        <v>350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66"/>
      <c r="R3" s="3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7">
        <f>E3-F3-G3-H3-I3-J3-K3-L3+M3-N3-O3-P3-Q3-R3-S3-T3-U3-V3-W3-X3-Y3-Z3-AA3-AB3-AC3+AD3-AE3-AF3-AG3-AH3-AI3-AJ3-AK3</f>
        <v>350</v>
      </c>
    </row>
    <row r="4" spans="1:38" ht="15.75" thickBot="1">
      <c r="A4" s="18">
        <v>2</v>
      </c>
      <c r="B4" s="57" t="s">
        <v>97</v>
      </c>
      <c r="C4" s="57" t="s">
        <v>96</v>
      </c>
      <c r="D4" s="3" t="s">
        <v>1</v>
      </c>
      <c r="E4" s="7">
        <v>300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66"/>
      <c r="R4" s="3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100"/>
      <c r="AE4" s="49"/>
      <c r="AF4" s="49"/>
      <c r="AG4" s="49"/>
      <c r="AH4" s="49"/>
      <c r="AI4" s="49"/>
      <c r="AJ4" s="49"/>
      <c r="AK4" s="49"/>
      <c r="AL4" s="7">
        <f t="shared" ref="AL4:AL17" si="0">E4-F4-G4-H4-I4-J4-K4-L4+M4-N4-O4-P4-Q4-R4-S4-T4-U4-V4-W4-X4-Y4-Z4-AA4-AB4-AC4+AD4-AE4-AF4-AG4-AH4-AI4-AJ4-AK4</f>
        <v>300</v>
      </c>
    </row>
    <row r="5" spans="1:38" ht="15.75" thickBot="1">
      <c r="A5" s="18">
        <v>3</v>
      </c>
      <c r="B5" s="57" t="s">
        <v>85</v>
      </c>
      <c r="C5" s="57" t="s">
        <v>98</v>
      </c>
      <c r="D5" s="3" t="s">
        <v>1</v>
      </c>
      <c r="E5" s="7">
        <v>275</v>
      </c>
      <c r="F5" s="3"/>
      <c r="G5" s="3"/>
      <c r="H5" s="3">
        <v>25</v>
      </c>
      <c r="I5" s="3"/>
      <c r="J5" s="3">
        <v>25</v>
      </c>
      <c r="K5" s="3">
        <v>25</v>
      </c>
      <c r="L5" s="3"/>
      <c r="M5" s="3"/>
      <c r="N5" s="3"/>
      <c r="O5" s="3"/>
      <c r="P5" s="3">
        <v>25</v>
      </c>
      <c r="Q5" s="66"/>
      <c r="R5" s="3"/>
      <c r="S5" s="49"/>
      <c r="T5" s="49"/>
      <c r="U5" s="49"/>
      <c r="V5" s="49">
        <v>25</v>
      </c>
      <c r="W5" s="49">
        <v>25</v>
      </c>
      <c r="X5" s="49">
        <v>25</v>
      </c>
      <c r="Y5" s="49"/>
      <c r="Z5" s="49">
        <v>25</v>
      </c>
      <c r="AA5" s="49"/>
      <c r="AB5" s="49"/>
      <c r="AC5" s="99">
        <v>25</v>
      </c>
      <c r="AD5" s="101">
        <v>500</v>
      </c>
      <c r="AE5" s="89"/>
      <c r="AF5" s="49"/>
      <c r="AG5" s="49"/>
      <c r="AH5" s="49"/>
      <c r="AI5" s="49"/>
      <c r="AJ5" s="49"/>
      <c r="AK5" s="49"/>
      <c r="AL5" s="7">
        <f t="shared" si="0"/>
        <v>550</v>
      </c>
    </row>
    <row r="6" spans="1:38" ht="15.75" thickBot="1">
      <c r="A6" s="18">
        <v>4</v>
      </c>
      <c r="B6" s="57" t="s">
        <v>99</v>
      </c>
      <c r="C6" s="57" t="s">
        <v>95</v>
      </c>
      <c r="D6" s="3" t="s">
        <v>1</v>
      </c>
      <c r="E6" s="7">
        <v>525</v>
      </c>
      <c r="F6" s="3"/>
      <c r="G6" s="3">
        <v>25</v>
      </c>
      <c r="H6" s="3"/>
      <c r="I6" s="3"/>
      <c r="J6" s="3">
        <v>25</v>
      </c>
      <c r="K6" s="3"/>
      <c r="L6" s="3"/>
      <c r="M6" s="3"/>
      <c r="N6" s="3"/>
      <c r="O6" s="3"/>
      <c r="P6" s="3"/>
      <c r="Q6" s="66"/>
      <c r="R6" s="88"/>
      <c r="S6" s="49"/>
      <c r="T6" s="49"/>
      <c r="U6" s="49"/>
      <c r="V6" s="49"/>
      <c r="W6" s="49">
        <v>25</v>
      </c>
      <c r="X6" s="49">
        <v>25</v>
      </c>
      <c r="Y6" s="49"/>
      <c r="Z6" s="49"/>
      <c r="AA6" s="49"/>
      <c r="AB6" s="49"/>
      <c r="AC6" s="49"/>
      <c r="AD6" s="33"/>
      <c r="AE6" s="49"/>
      <c r="AF6" s="49"/>
      <c r="AG6" s="49"/>
      <c r="AH6" s="49"/>
      <c r="AI6" s="49"/>
      <c r="AJ6" s="49"/>
      <c r="AK6" s="49"/>
      <c r="AL6" s="7">
        <f t="shared" si="0"/>
        <v>425</v>
      </c>
    </row>
    <row r="7" spans="1:38" ht="15.75" thickBot="1">
      <c r="A7" s="18">
        <v>5</v>
      </c>
      <c r="B7" s="57" t="s">
        <v>86</v>
      </c>
      <c r="C7" s="57" t="s">
        <v>100</v>
      </c>
      <c r="D7" s="3" t="s">
        <v>1</v>
      </c>
      <c r="E7" s="7">
        <v>100</v>
      </c>
      <c r="F7" s="3"/>
      <c r="G7" s="3">
        <v>8</v>
      </c>
      <c r="H7" s="3"/>
      <c r="I7" s="3"/>
      <c r="J7" s="3"/>
      <c r="K7" s="3"/>
      <c r="L7" s="3"/>
      <c r="M7" s="65">
        <v>200</v>
      </c>
      <c r="N7" s="3"/>
      <c r="O7" s="3"/>
      <c r="P7" s="3"/>
      <c r="Q7" s="66"/>
      <c r="R7" s="3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7">
        <f t="shared" si="0"/>
        <v>292</v>
      </c>
    </row>
    <row r="8" spans="1:38">
      <c r="A8" s="18">
        <v>6</v>
      </c>
      <c r="B8" s="57" t="s">
        <v>87</v>
      </c>
      <c r="C8" s="57" t="s">
        <v>101</v>
      </c>
      <c r="D8" s="4" t="s">
        <v>1</v>
      </c>
      <c r="E8" s="7">
        <v>100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66"/>
      <c r="R8" s="3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7">
        <f t="shared" si="0"/>
        <v>100</v>
      </c>
    </row>
    <row r="9" spans="1:38">
      <c r="A9" s="18">
        <v>7</v>
      </c>
      <c r="B9" s="57" t="s">
        <v>88</v>
      </c>
      <c r="C9" s="57" t="s">
        <v>96</v>
      </c>
      <c r="D9" s="4" t="s">
        <v>1</v>
      </c>
      <c r="E9" s="7">
        <v>225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66"/>
      <c r="R9" s="3"/>
      <c r="S9" s="49"/>
      <c r="T9" s="3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7">
        <f t="shared" si="0"/>
        <v>225</v>
      </c>
    </row>
    <row r="10" spans="1:38">
      <c r="A10" s="18">
        <v>8</v>
      </c>
      <c r="B10" s="57" t="s">
        <v>89</v>
      </c>
      <c r="C10" s="57" t="s">
        <v>96</v>
      </c>
      <c r="D10" s="4" t="s">
        <v>1</v>
      </c>
      <c r="E10" s="7">
        <v>100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66"/>
      <c r="R10" s="3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7">
        <f t="shared" si="0"/>
        <v>100</v>
      </c>
    </row>
    <row r="11" spans="1:38">
      <c r="A11" s="18">
        <v>9</v>
      </c>
      <c r="B11" s="59" t="s">
        <v>104</v>
      </c>
      <c r="C11" s="57" t="s">
        <v>96</v>
      </c>
      <c r="D11" s="4" t="s">
        <v>1</v>
      </c>
      <c r="E11" s="7">
        <v>150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66"/>
      <c r="R11" s="3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7">
        <f t="shared" si="0"/>
        <v>150</v>
      </c>
    </row>
    <row r="12" spans="1:38">
      <c r="A12" s="18">
        <v>10</v>
      </c>
      <c r="B12" s="57" t="s">
        <v>91</v>
      </c>
      <c r="C12" s="3" t="s">
        <v>96</v>
      </c>
      <c r="D12" s="3" t="s">
        <v>1</v>
      </c>
      <c r="E12" s="7">
        <v>100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66"/>
      <c r="R12" s="3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7">
        <f t="shared" si="0"/>
        <v>100</v>
      </c>
    </row>
    <row r="13" spans="1:38">
      <c r="A13" s="18">
        <v>11</v>
      </c>
      <c r="B13" s="57" t="s">
        <v>92</v>
      </c>
      <c r="C13" s="57" t="s">
        <v>96</v>
      </c>
      <c r="D13" s="4" t="s">
        <v>1</v>
      </c>
      <c r="E13" s="7">
        <v>200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66"/>
      <c r="R13" s="3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7">
        <f t="shared" si="0"/>
        <v>200</v>
      </c>
    </row>
    <row r="14" spans="1:38">
      <c r="A14" s="18">
        <v>12</v>
      </c>
      <c r="B14" s="3" t="s">
        <v>93</v>
      </c>
      <c r="C14" s="3" t="s">
        <v>96</v>
      </c>
      <c r="D14" s="3" t="s">
        <v>1</v>
      </c>
      <c r="E14" s="7">
        <v>250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66"/>
      <c r="R14" s="3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7">
        <f t="shared" si="0"/>
        <v>250</v>
      </c>
    </row>
    <row r="15" spans="1:38">
      <c r="A15" s="18">
        <v>13</v>
      </c>
      <c r="B15" s="3" t="s">
        <v>111</v>
      </c>
      <c r="C15" s="3" t="s">
        <v>102</v>
      </c>
      <c r="D15" s="3" t="s">
        <v>1</v>
      </c>
      <c r="E15" s="7">
        <v>125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v>25</v>
      </c>
      <c r="Q15" s="66"/>
      <c r="R15" s="3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7">
        <f t="shared" si="0"/>
        <v>100</v>
      </c>
    </row>
    <row r="16" spans="1:38">
      <c r="A16" s="18">
        <v>14</v>
      </c>
      <c r="B16" s="3" t="s">
        <v>135</v>
      </c>
      <c r="C16" s="3" t="s">
        <v>96</v>
      </c>
      <c r="D16" s="3" t="s">
        <v>1</v>
      </c>
      <c r="E16" s="7">
        <v>50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7">
        <f t="shared" si="0"/>
        <v>50</v>
      </c>
    </row>
    <row r="17" spans="1:38">
      <c r="A17" s="18">
        <v>15</v>
      </c>
      <c r="B17" s="3" t="s">
        <v>136</v>
      </c>
      <c r="C17" s="3" t="s">
        <v>96</v>
      </c>
      <c r="D17" s="3" t="s">
        <v>1</v>
      </c>
      <c r="E17" s="7">
        <v>100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7">
        <f t="shared" si="0"/>
        <v>100</v>
      </c>
    </row>
    <row r="19" spans="1:38" ht="30">
      <c r="A19" s="5" t="s">
        <v>57</v>
      </c>
      <c r="B19" s="5" t="s">
        <v>56</v>
      </c>
      <c r="C19" s="5" t="s">
        <v>69</v>
      </c>
      <c r="D19" s="5" t="s">
        <v>68</v>
      </c>
    </row>
    <row r="20" spans="1:38">
      <c r="A20" s="18">
        <v>1</v>
      </c>
      <c r="B20" s="57" t="s">
        <v>84</v>
      </c>
      <c r="C20" s="18">
        <f>AL3</f>
        <v>350</v>
      </c>
      <c r="D20" s="50">
        <v>200</v>
      </c>
    </row>
    <row r="21" spans="1:38">
      <c r="A21" s="18">
        <v>2</v>
      </c>
      <c r="B21" s="57" t="s">
        <v>97</v>
      </c>
      <c r="C21" s="18">
        <f t="shared" ref="C21:C34" si="1">AL4</f>
        <v>300</v>
      </c>
      <c r="D21" s="50">
        <v>100</v>
      </c>
    </row>
    <row r="22" spans="1:38">
      <c r="A22" s="18">
        <v>3</v>
      </c>
      <c r="B22" s="57" t="s">
        <v>85</v>
      </c>
      <c r="C22" s="18">
        <f t="shared" si="1"/>
        <v>550</v>
      </c>
      <c r="D22" s="50">
        <v>200</v>
      </c>
    </row>
    <row r="23" spans="1:38">
      <c r="A23" s="18">
        <v>4</v>
      </c>
      <c r="B23" s="57" t="s">
        <v>99</v>
      </c>
      <c r="C23" s="18">
        <f t="shared" si="1"/>
        <v>425</v>
      </c>
      <c r="D23" s="50">
        <v>200</v>
      </c>
    </row>
    <row r="24" spans="1:38">
      <c r="A24" s="18">
        <v>5</v>
      </c>
      <c r="B24" s="57" t="s">
        <v>86</v>
      </c>
      <c r="C24" s="18">
        <f t="shared" si="1"/>
        <v>292</v>
      </c>
      <c r="D24" s="50">
        <v>100</v>
      </c>
    </row>
    <row r="25" spans="1:38">
      <c r="A25" s="18">
        <v>6</v>
      </c>
      <c r="B25" s="57" t="s">
        <v>87</v>
      </c>
      <c r="C25" s="18">
        <f t="shared" si="1"/>
        <v>100</v>
      </c>
      <c r="D25" s="50">
        <v>25</v>
      </c>
    </row>
    <row r="26" spans="1:38">
      <c r="A26" s="18">
        <v>7</v>
      </c>
      <c r="B26" s="57" t="s">
        <v>88</v>
      </c>
      <c r="C26" s="18">
        <f t="shared" si="1"/>
        <v>225</v>
      </c>
      <c r="D26" s="50">
        <v>200</v>
      </c>
    </row>
    <row r="27" spans="1:38">
      <c r="A27" s="18">
        <v>8</v>
      </c>
      <c r="B27" s="57" t="s">
        <v>89</v>
      </c>
      <c r="C27" s="18">
        <f t="shared" si="1"/>
        <v>100</v>
      </c>
      <c r="D27" s="50">
        <v>200</v>
      </c>
    </row>
    <row r="28" spans="1:38">
      <c r="A28" s="18">
        <v>9</v>
      </c>
      <c r="B28" s="59" t="s">
        <v>104</v>
      </c>
      <c r="C28" s="18">
        <f t="shared" si="1"/>
        <v>150</v>
      </c>
      <c r="D28" s="50">
        <v>100</v>
      </c>
    </row>
    <row r="29" spans="1:38">
      <c r="A29" s="18">
        <v>10</v>
      </c>
      <c r="B29" s="57" t="s">
        <v>91</v>
      </c>
      <c r="C29" s="18">
        <f t="shared" si="1"/>
        <v>100</v>
      </c>
      <c r="D29" s="50">
        <v>0</v>
      </c>
    </row>
    <row r="30" spans="1:38">
      <c r="A30" s="18">
        <v>11</v>
      </c>
      <c r="B30" s="57" t="s">
        <v>92</v>
      </c>
      <c r="C30" s="18">
        <f t="shared" si="1"/>
        <v>200</v>
      </c>
      <c r="D30" s="50">
        <v>100</v>
      </c>
    </row>
    <row r="31" spans="1:38">
      <c r="A31" s="18">
        <v>12</v>
      </c>
      <c r="B31" s="3" t="s">
        <v>93</v>
      </c>
      <c r="C31" s="18">
        <f t="shared" si="1"/>
        <v>250</v>
      </c>
      <c r="D31" s="50">
        <v>100</v>
      </c>
    </row>
    <row r="32" spans="1:38">
      <c r="A32" s="18">
        <v>13</v>
      </c>
      <c r="B32" s="3" t="s">
        <v>111</v>
      </c>
      <c r="C32" s="18">
        <f t="shared" si="1"/>
        <v>100</v>
      </c>
      <c r="D32" s="50">
        <v>25</v>
      </c>
    </row>
    <row r="33" spans="1:4">
      <c r="A33" s="18">
        <v>14</v>
      </c>
      <c r="B33" s="3" t="s">
        <v>135</v>
      </c>
      <c r="C33" s="18">
        <f t="shared" si="1"/>
        <v>50</v>
      </c>
      <c r="D33" s="50">
        <v>25</v>
      </c>
    </row>
    <row r="34" spans="1:4">
      <c r="A34" s="18">
        <v>15</v>
      </c>
      <c r="B34" s="3" t="s">
        <v>136</v>
      </c>
      <c r="C34" s="18">
        <f t="shared" si="1"/>
        <v>100</v>
      </c>
      <c r="D34" s="50">
        <v>75</v>
      </c>
    </row>
  </sheetData>
  <mergeCells count="1">
    <mergeCell ref="A1:E1"/>
  </mergeCells>
  <conditionalFormatting sqref="C20:C34">
    <cfRule type="expression" dxfId="13" priority="1">
      <formula>$D20&gt;$C20</formula>
    </cfRule>
  </conditionalFormatting>
  <pageMargins left="0.70866141732283472" right="0.70866141732283472" top="0.74803149606299213" bottom="0.74803149606299213" header="0.31496062992125984" footer="0.31496062992125984"/>
  <pageSetup scale="12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3"/>
  <sheetViews>
    <sheetView zoomScaleNormal="10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B12" sqref="B12"/>
    </sheetView>
  </sheetViews>
  <sheetFormatPr defaultColWidth="9" defaultRowHeight="15"/>
  <cols>
    <col min="1" max="1" width="9" style="2"/>
    <col min="2" max="2" width="33.5703125" style="2" customWidth="1"/>
    <col min="3" max="3" width="15" style="2" customWidth="1"/>
    <col min="4" max="4" width="17" style="2" bestFit="1" customWidth="1"/>
    <col min="5" max="5" width="9" style="2"/>
    <col min="6" max="6" width="11.140625" style="2" customWidth="1"/>
    <col min="7" max="7" width="10.42578125" style="2" bestFit="1" customWidth="1"/>
    <col min="8" max="8" width="10.42578125" style="2" customWidth="1"/>
    <col min="9" max="9" width="11.140625" style="2" customWidth="1"/>
    <col min="10" max="10" width="10.28515625" style="2" customWidth="1"/>
    <col min="11" max="15" width="11.140625" style="2" customWidth="1"/>
    <col min="16" max="16" width="11" style="2" customWidth="1"/>
    <col min="17" max="17" width="10.28515625" style="2" customWidth="1"/>
    <col min="18" max="22" width="11.140625" style="2" customWidth="1"/>
    <col min="23" max="23" width="10.42578125" style="2" customWidth="1"/>
    <col min="24" max="24" width="11.140625" style="2" customWidth="1"/>
    <col min="25" max="25" width="10.42578125" style="2" customWidth="1"/>
    <col min="26" max="29" width="11.140625" style="2" hidden="1" customWidth="1"/>
    <col min="30" max="30" width="10.42578125" style="2" hidden="1" customWidth="1"/>
    <col min="31" max="31" width="11.140625" style="2" hidden="1" customWidth="1"/>
    <col min="32" max="32" width="10.42578125" style="2" hidden="1" customWidth="1"/>
    <col min="33" max="33" width="11.140625" style="2" hidden="1" customWidth="1"/>
    <col min="34" max="34" width="10.140625" style="2" hidden="1" customWidth="1"/>
    <col min="35" max="39" width="11.140625" style="2" hidden="1" customWidth="1"/>
    <col min="40" max="40" width="9" style="2"/>
  </cols>
  <sheetData>
    <row r="1" spans="1:40" ht="30.75">
      <c r="A1" s="231" t="s">
        <v>66</v>
      </c>
      <c r="B1" s="231"/>
      <c r="C1" s="231"/>
      <c r="D1" s="231"/>
      <c r="E1" s="231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102"/>
    </row>
    <row r="2" spans="1:40" s="1" customFormat="1" ht="32.25" customHeight="1" thickBot="1">
      <c r="A2" s="5" t="s">
        <v>57</v>
      </c>
      <c r="B2" s="5" t="s">
        <v>56</v>
      </c>
      <c r="C2" s="5" t="s">
        <v>55</v>
      </c>
      <c r="D2" s="5" t="s">
        <v>54</v>
      </c>
      <c r="E2" s="84" t="s">
        <v>131</v>
      </c>
      <c r="F2" s="105">
        <v>45931</v>
      </c>
      <c r="G2" s="105">
        <v>45932</v>
      </c>
      <c r="H2" s="105">
        <v>45933</v>
      </c>
      <c r="I2" s="105">
        <v>45934</v>
      </c>
      <c r="J2" s="105">
        <v>45935</v>
      </c>
      <c r="K2" s="105">
        <v>45936</v>
      </c>
      <c r="L2" s="105">
        <v>45937</v>
      </c>
      <c r="M2" s="109" t="s">
        <v>141</v>
      </c>
      <c r="N2" s="105">
        <v>45938</v>
      </c>
      <c r="O2" s="105">
        <v>45939</v>
      </c>
      <c r="P2" s="109" t="s">
        <v>142</v>
      </c>
      <c r="Q2" s="105">
        <v>45940</v>
      </c>
      <c r="R2" s="105">
        <v>45941</v>
      </c>
      <c r="S2" s="105">
        <v>45942</v>
      </c>
      <c r="T2" s="105">
        <v>45943</v>
      </c>
      <c r="U2" s="105">
        <v>45944</v>
      </c>
      <c r="V2" s="109" t="s">
        <v>143</v>
      </c>
      <c r="W2" s="105">
        <v>45945</v>
      </c>
      <c r="X2" s="105">
        <v>45946</v>
      </c>
      <c r="Y2" s="105">
        <v>45947</v>
      </c>
      <c r="Z2" s="105">
        <v>45948</v>
      </c>
      <c r="AA2" s="105">
        <v>45949</v>
      </c>
      <c r="AB2" s="105">
        <v>45950</v>
      </c>
      <c r="AC2" s="105">
        <v>45951</v>
      </c>
      <c r="AD2" s="105">
        <v>45952</v>
      </c>
      <c r="AE2" s="105">
        <v>45953</v>
      </c>
      <c r="AF2" s="105">
        <v>45954</v>
      </c>
      <c r="AG2" s="105">
        <v>45955</v>
      </c>
      <c r="AH2" s="105">
        <v>45956</v>
      </c>
      <c r="AI2" s="105">
        <v>45957</v>
      </c>
      <c r="AJ2" s="105">
        <v>45958</v>
      </c>
      <c r="AK2" s="105">
        <v>45959</v>
      </c>
      <c r="AL2" s="105">
        <v>45960</v>
      </c>
      <c r="AM2" s="105">
        <v>45961</v>
      </c>
      <c r="AN2" s="5" t="s">
        <v>5</v>
      </c>
    </row>
    <row r="3" spans="1:40" ht="15.75" thickBot="1">
      <c r="A3" s="18">
        <v>1</v>
      </c>
      <c r="B3" s="18" t="s">
        <v>32</v>
      </c>
      <c r="C3" s="18" t="s">
        <v>0</v>
      </c>
      <c r="D3" s="18" t="s">
        <v>1</v>
      </c>
      <c r="E3" s="7">
        <v>2950</v>
      </c>
      <c r="F3" s="83"/>
      <c r="G3" s="83"/>
      <c r="H3" s="83"/>
      <c r="I3" s="83">
        <v>250</v>
      </c>
      <c r="J3" s="83"/>
      <c r="K3" s="83">
        <v>750</v>
      </c>
      <c r="L3" s="103">
        <v>700</v>
      </c>
      <c r="M3" s="83"/>
      <c r="N3" s="103">
        <v>425</v>
      </c>
      <c r="O3" s="113">
        <v>800</v>
      </c>
      <c r="P3" s="65">
        <v>5000</v>
      </c>
      <c r="Q3" s="110">
        <v>1475</v>
      </c>
      <c r="R3" s="83"/>
      <c r="S3" s="83">
        <v>300</v>
      </c>
      <c r="T3" s="83">
        <v>650</v>
      </c>
      <c r="U3" s="83">
        <v>675</v>
      </c>
      <c r="V3" s="83"/>
      <c r="W3" s="66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104"/>
      <c r="AN3" s="7">
        <f>E3-F3-G3-H3-I3-J3-K3-L3+M3-N3-O3+P3-Q3-R3-S3-T3-U3+V3-W3-X3-Y3-Z3-AA3-AB3-AC3-AD3-AE3-AF3-AG3-AH3-AI3-AJ3-AK3-AL3-AM3</f>
        <v>1925</v>
      </c>
    </row>
    <row r="4" spans="1:40" ht="15.75" thickBot="1">
      <c r="A4" s="18">
        <v>2</v>
      </c>
      <c r="B4" s="18" t="s">
        <v>26</v>
      </c>
      <c r="C4" s="18" t="s">
        <v>0</v>
      </c>
      <c r="D4" s="18" t="s">
        <v>1</v>
      </c>
      <c r="E4" s="7">
        <v>0</v>
      </c>
      <c r="F4" s="83"/>
      <c r="G4" s="83"/>
      <c r="H4" s="83"/>
      <c r="I4" s="83"/>
      <c r="J4" s="83"/>
      <c r="K4" s="83"/>
      <c r="L4" s="83"/>
      <c r="M4" s="111"/>
      <c r="N4" s="83"/>
      <c r="O4" s="83"/>
      <c r="P4" s="112"/>
      <c r="Q4" s="83"/>
      <c r="R4" s="83"/>
      <c r="S4" s="83"/>
      <c r="T4" s="83"/>
      <c r="U4" s="83"/>
      <c r="V4" s="65">
        <v>5000</v>
      </c>
      <c r="W4" s="83">
        <v>750</v>
      </c>
      <c r="X4" s="83">
        <v>1450</v>
      </c>
      <c r="Y4" s="66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104"/>
      <c r="AN4" s="7">
        <f t="shared" ref="AN4:AN16" si="0">E4-F4-G4-H4-I4-J4-K4-L4+M4-N4-O4+P4-Q4-R4-S4-T4-U4+V4-W4-X4-Y4-Z4-AA4-AB4-AC4-AD4-AE4-AF4-AG4-AH4-AI4-AJ4-AK4-AL4-AM4</f>
        <v>2800</v>
      </c>
    </row>
    <row r="5" spans="1:40" ht="15.75" thickBot="1">
      <c r="A5" s="18">
        <v>3</v>
      </c>
      <c r="B5" s="18" t="s">
        <v>27</v>
      </c>
      <c r="C5" s="18" t="s">
        <v>0</v>
      </c>
      <c r="D5" s="18" t="s">
        <v>1</v>
      </c>
      <c r="E5" s="7">
        <v>300</v>
      </c>
      <c r="F5" s="83"/>
      <c r="G5" s="83"/>
      <c r="H5" s="83">
        <v>75</v>
      </c>
      <c r="I5" s="83">
        <v>50</v>
      </c>
      <c r="J5" s="83"/>
      <c r="K5" s="83"/>
      <c r="L5" s="110"/>
      <c r="M5" s="65">
        <v>1000</v>
      </c>
      <c r="N5" s="110"/>
      <c r="O5" s="83"/>
      <c r="P5" s="83"/>
      <c r="Q5" s="83"/>
      <c r="R5" s="83"/>
      <c r="S5" s="83">
        <v>350</v>
      </c>
      <c r="T5" s="83"/>
      <c r="U5" s="83">
        <v>225</v>
      </c>
      <c r="V5" s="83"/>
      <c r="W5" s="83">
        <v>100</v>
      </c>
      <c r="X5" s="83">
        <v>50</v>
      </c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104"/>
      <c r="AN5" s="7">
        <f t="shared" si="0"/>
        <v>450</v>
      </c>
    </row>
    <row r="6" spans="1:40">
      <c r="A6" s="18">
        <v>4</v>
      </c>
      <c r="B6" s="18" t="s">
        <v>28</v>
      </c>
      <c r="C6" s="18" t="s">
        <v>0</v>
      </c>
      <c r="D6" s="18" t="s">
        <v>1</v>
      </c>
      <c r="E6" s="7">
        <v>6975</v>
      </c>
      <c r="F6" s="83"/>
      <c r="G6" s="83"/>
      <c r="H6" s="83"/>
      <c r="I6" s="83"/>
      <c r="J6" s="83"/>
      <c r="K6" s="83"/>
      <c r="L6" s="83"/>
      <c r="M6" s="112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104"/>
      <c r="AN6" s="7">
        <f t="shared" si="0"/>
        <v>6975</v>
      </c>
    </row>
    <row r="7" spans="1:40">
      <c r="A7" s="18">
        <v>5</v>
      </c>
      <c r="B7" s="18" t="s">
        <v>106</v>
      </c>
      <c r="C7" s="18" t="s">
        <v>2</v>
      </c>
      <c r="D7" s="18" t="s">
        <v>1</v>
      </c>
      <c r="E7" s="7">
        <v>225</v>
      </c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104"/>
      <c r="AN7" s="7">
        <f t="shared" si="0"/>
        <v>225</v>
      </c>
    </row>
    <row r="8" spans="1:40">
      <c r="A8" s="18">
        <v>6</v>
      </c>
      <c r="B8" s="18" t="s">
        <v>30</v>
      </c>
      <c r="C8" s="18" t="s">
        <v>2</v>
      </c>
      <c r="D8" s="18" t="s">
        <v>1</v>
      </c>
      <c r="E8" s="7">
        <v>0</v>
      </c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104"/>
      <c r="AN8" s="7">
        <f t="shared" si="0"/>
        <v>0</v>
      </c>
    </row>
    <row r="9" spans="1:40">
      <c r="A9" s="18">
        <v>7</v>
      </c>
      <c r="B9" s="18" t="s">
        <v>31</v>
      </c>
      <c r="C9" s="18" t="s">
        <v>2</v>
      </c>
      <c r="D9" s="18" t="s">
        <v>1</v>
      </c>
      <c r="E9" s="7">
        <v>925</v>
      </c>
      <c r="F9" s="83"/>
      <c r="G9" s="83"/>
      <c r="H9" s="83"/>
      <c r="I9" s="83"/>
      <c r="J9" s="66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104"/>
      <c r="AN9" s="7">
        <f t="shared" si="0"/>
        <v>925</v>
      </c>
    </row>
    <row r="10" spans="1:40">
      <c r="A10" s="18">
        <v>8</v>
      </c>
      <c r="B10" s="18" t="s">
        <v>33</v>
      </c>
      <c r="C10" s="18" t="s">
        <v>2</v>
      </c>
      <c r="D10" s="18" t="s">
        <v>1</v>
      </c>
      <c r="E10" s="7">
        <v>2550</v>
      </c>
      <c r="F10" s="83">
        <v>400</v>
      </c>
      <c r="G10" s="83"/>
      <c r="H10" s="66">
        <v>25</v>
      </c>
      <c r="I10" s="83">
        <v>75</v>
      </c>
      <c r="J10" s="66"/>
      <c r="K10" s="83">
        <v>300</v>
      </c>
      <c r="L10" s="83">
        <v>275</v>
      </c>
      <c r="M10" s="83"/>
      <c r="N10" s="83">
        <v>375</v>
      </c>
      <c r="O10" s="83">
        <v>125</v>
      </c>
      <c r="P10" s="83"/>
      <c r="Q10" s="83">
        <v>250</v>
      </c>
      <c r="R10" s="83"/>
      <c r="S10" s="83"/>
      <c r="T10" s="83">
        <v>100</v>
      </c>
      <c r="U10" s="83">
        <v>100</v>
      </c>
      <c r="V10" s="83"/>
      <c r="W10" s="83">
        <v>225</v>
      </c>
      <c r="X10" s="83"/>
      <c r="Y10" s="83"/>
      <c r="Z10" s="83"/>
      <c r="AA10" s="83"/>
      <c r="AB10" s="83"/>
      <c r="AC10" s="83"/>
      <c r="AD10" s="66"/>
      <c r="AE10" s="83"/>
      <c r="AF10" s="83"/>
      <c r="AG10" s="83"/>
      <c r="AH10" s="66"/>
      <c r="AI10" s="83"/>
      <c r="AJ10" s="83"/>
      <c r="AK10" s="83"/>
      <c r="AL10" s="83"/>
      <c r="AM10" s="104"/>
      <c r="AN10" s="7">
        <f t="shared" si="0"/>
        <v>300</v>
      </c>
    </row>
    <row r="11" spans="1:40">
      <c r="A11" s="18">
        <v>9</v>
      </c>
      <c r="B11" s="18" t="s">
        <v>34</v>
      </c>
      <c r="C11" s="18" t="s">
        <v>2</v>
      </c>
      <c r="D11" s="18" t="s">
        <v>1</v>
      </c>
      <c r="E11" s="7">
        <v>900</v>
      </c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66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104"/>
      <c r="AN11" s="7">
        <f t="shared" si="0"/>
        <v>900</v>
      </c>
    </row>
    <row r="12" spans="1:40">
      <c r="A12" s="18">
        <v>10</v>
      </c>
      <c r="B12" s="18" t="s">
        <v>74</v>
      </c>
      <c r="C12" s="18" t="s">
        <v>2</v>
      </c>
      <c r="D12" s="18" t="s">
        <v>1</v>
      </c>
      <c r="E12" s="7">
        <v>0</v>
      </c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104"/>
      <c r="AN12" s="7">
        <f t="shared" si="0"/>
        <v>0</v>
      </c>
    </row>
    <row r="13" spans="1:40">
      <c r="A13" s="18">
        <v>11</v>
      </c>
      <c r="B13" s="18" t="s">
        <v>35</v>
      </c>
      <c r="C13" s="18" t="s">
        <v>3</v>
      </c>
      <c r="D13" s="18" t="s">
        <v>1</v>
      </c>
      <c r="E13" s="7">
        <v>1675</v>
      </c>
      <c r="F13" s="83"/>
      <c r="G13" s="83"/>
      <c r="H13" s="83"/>
      <c r="I13" s="83"/>
      <c r="J13" s="66"/>
      <c r="K13" s="83">
        <v>350</v>
      </c>
      <c r="L13" s="83">
        <v>275</v>
      </c>
      <c r="M13" s="83"/>
      <c r="N13" s="83">
        <v>250</v>
      </c>
      <c r="O13" s="83">
        <v>125</v>
      </c>
      <c r="P13" s="83"/>
      <c r="Q13" s="83"/>
      <c r="R13" s="83"/>
      <c r="S13" s="83">
        <v>625</v>
      </c>
      <c r="T13" s="83">
        <v>50</v>
      </c>
      <c r="U13" s="83">
        <v>375</v>
      </c>
      <c r="V13" s="83"/>
      <c r="W13" s="83">
        <v>75</v>
      </c>
      <c r="X13" s="83"/>
      <c r="Y13" s="83"/>
      <c r="Z13" s="83"/>
      <c r="AA13" s="83"/>
      <c r="AB13" s="83"/>
      <c r="AC13" s="83"/>
      <c r="AD13" s="83"/>
      <c r="AE13" s="83"/>
      <c r="AF13" s="66"/>
      <c r="AG13" s="83"/>
      <c r="AH13" s="83"/>
      <c r="AI13" s="83"/>
      <c r="AJ13" s="83"/>
      <c r="AK13" s="83"/>
      <c r="AL13" s="83"/>
      <c r="AM13" s="104"/>
      <c r="AN13" s="7">
        <f t="shared" si="0"/>
        <v>-450</v>
      </c>
    </row>
    <row r="14" spans="1:40">
      <c r="A14" s="18">
        <v>12</v>
      </c>
      <c r="B14" s="18" t="s">
        <v>36</v>
      </c>
      <c r="C14" s="18" t="s">
        <v>2</v>
      </c>
      <c r="D14" s="18" t="s">
        <v>1</v>
      </c>
      <c r="E14" s="7">
        <v>150</v>
      </c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>
        <v>75</v>
      </c>
      <c r="T14" s="83">
        <v>50</v>
      </c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104"/>
      <c r="AN14" s="7">
        <f t="shared" si="0"/>
        <v>25</v>
      </c>
    </row>
    <row r="15" spans="1:40">
      <c r="A15" s="18">
        <v>13</v>
      </c>
      <c r="B15" s="18" t="s">
        <v>52</v>
      </c>
      <c r="C15" s="18" t="s">
        <v>37</v>
      </c>
      <c r="D15" s="18" t="s">
        <v>1</v>
      </c>
      <c r="E15" s="7">
        <v>350</v>
      </c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104"/>
      <c r="AN15" s="7">
        <f t="shared" si="0"/>
        <v>350</v>
      </c>
    </row>
    <row r="16" spans="1:40">
      <c r="A16" s="18">
        <v>14</v>
      </c>
      <c r="B16" s="18" t="s">
        <v>38</v>
      </c>
      <c r="C16" s="18" t="s">
        <v>6</v>
      </c>
      <c r="D16" s="18" t="s">
        <v>1</v>
      </c>
      <c r="E16" s="7">
        <v>0</v>
      </c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104"/>
      <c r="AN16" s="7">
        <f t="shared" si="0"/>
        <v>0</v>
      </c>
    </row>
    <row r="17" spans="1:40" ht="15.75">
      <c r="A17" s="228"/>
      <c r="B17" s="229"/>
      <c r="C17" s="230"/>
      <c r="D17" s="16" t="s">
        <v>51</v>
      </c>
      <c r="E17" s="15">
        <f>SUM(E3:E16)</f>
        <v>17000</v>
      </c>
      <c r="F17" s="15">
        <f>SUM(F3:F16)</f>
        <v>400</v>
      </c>
      <c r="G17" s="15">
        <f t="shared" ref="G17:AM17" si="1">SUM(G3:G16)</f>
        <v>0</v>
      </c>
      <c r="H17" s="15">
        <f t="shared" si="1"/>
        <v>100</v>
      </c>
      <c r="I17" s="15">
        <f t="shared" si="1"/>
        <v>375</v>
      </c>
      <c r="J17" s="15">
        <f t="shared" si="1"/>
        <v>0</v>
      </c>
      <c r="K17" s="15">
        <f t="shared" si="1"/>
        <v>1400</v>
      </c>
      <c r="L17" s="15">
        <f t="shared" si="1"/>
        <v>1250</v>
      </c>
      <c r="M17" s="15"/>
      <c r="N17" s="15">
        <f t="shared" si="1"/>
        <v>1050</v>
      </c>
      <c r="O17" s="15">
        <f t="shared" si="1"/>
        <v>1050</v>
      </c>
      <c r="P17" s="15"/>
      <c r="Q17" s="15">
        <f t="shared" si="1"/>
        <v>1725</v>
      </c>
      <c r="R17" s="15">
        <f t="shared" si="1"/>
        <v>0</v>
      </c>
      <c r="S17" s="15">
        <f t="shared" si="1"/>
        <v>1350</v>
      </c>
      <c r="T17" s="15">
        <f t="shared" si="1"/>
        <v>850</v>
      </c>
      <c r="U17" s="15">
        <f t="shared" si="1"/>
        <v>1375</v>
      </c>
      <c r="V17" s="15"/>
      <c r="W17" s="15">
        <f t="shared" si="1"/>
        <v>1150</v>
      </c>
      <c r="X17" s="15">
        <f t="shared" si="1"/>
        <v>1500</v>
      </c>
      <c r="Y17" s="15">
        <f t="shared" si="1"/>
        <v>0</v>
      </c>
      <c r="Z17" s="15">
        <f t="shared" si="1"/>
        <v>0</v>
      </c>
      <c r="AA17" s="15">
        <f t="shared" si="1"/>
        <v>0</v>
      </c>
      <c r="AB17" s="15">
        <f t="shared" si="1"/>
        <v>0</v>
      </c>
      <c r="AC17" s="15">
        <f t="shared" si="1"/>
        <v>0</v>
      </c>
      <c r="AD17" s="15">
        <f t="shared" si="1"/>
        <v>0</v>
      </c>
      <c r="AE17" s="15">
        <f t="shared" si="1"/>
        <v>0</v>
      </c>
      <c r="AF17" s="15">
        <f t="shared" si="1"/>
        <v>0</v>
      </c>
      <c r="AG17" s="15">
        <f t="shared" si="1"/>
        <v>0</v>
      </c>
      <c r="AH17" s="15">
        <f t="shared" si="1"/>
        <v>0</v>
      </c>
      <c r="AI17" s="15">
        <f t="shared" si="1"/>
        <v>0</v>
      </c>
      <c r="AJ17" s="15">
        <f t="shared" si="1"/>
        <v>0</v>
      </c>
      <c r="AK17" s="15">
        <f t="shared" si="1"/>
        <v>0</v>
      </c>
      <c r="AL17" s="15">
        <f t="shared" si="1"/>
        <v>0</v>
      </c>
      <c r="AM17" s="15">
        <f t="shared" si="1"/>
        <v>0</v>
      </c>
      <c r="AN17" s="15"/>
    </row>
    <row r="18" spans="1:40" ht="15.75">
      <c r="A18" s="21"/>
      <c r="B18" s="21"/>
      <c r="C18" s="21"/>
      <c r="D18" s="54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</row>
    <row r="19" spans="1:40" ht="15.75">
      <c r="A19" s="51"/>
      <c r="B19" s="51" t="s">
        <v>8</v>
      </c>
      <c r="C19" s="51" t="s">
        <v>67</v>
      </c>
      <c r="D19" s="51" t="s">
        <v>68</v>
      </c>
    </row>
    <row r="20" spans="1:40">
      <c r="A20" s="18">
        <v>1</v>
      </c>
      <c r="B20" s="18" t="s">
        <v>32</v>
      </c>
      <c r="C20" s="18">
        <f>AN3</f>
        <v>1925</v>
      </c>
      <c r="D20" s="50">
        <v>1000</v>
      </c>
    </row>
    <row r="21" spans="1:40">
      <c r="A21" s="18">
        <v>2</v>
      </c>
      <c r="B21" s="18" t="s">
        <v>26</v>
      </c>
      <c r="C21" s="18">
        <f t="shared" ref="C21:C33" si="2">AN4</f>
        <v>2800</v>
      </c>
      <c r="D21" s="50">
        <v>1000</v>
      </c>
      <c r="F21" s="68"/>
      <c r="G21" s="69"/>
      <c r="H21" s="69"/>
      <c r="I21" s="69"/>
      <c r="J21" s="69"/>
      <c r="K21" s="69"/>
      <c r="L21" s="68"/>
      <c r="M21" s="68"/>
    </row>
    <row r="22" spans="1:40">
      <c r="A22" s="18">
        <v>3</v>
      </c>
      <c r="B22" s="18" t="s">
        <v>27</v>
      </c>
      <c r="C22" s="18">
        <f t="shared" si="2"/>
        <v>450</v>
      </c>
      <c r="D22" s="50">
        <v>1000</v>
      </c>
      <c r="F22" s="68"/>
      <c r="G22" s="72"/>
      <c r="H22" s="95"/>
      <c r="I22" s="73"/>
      <c r="J22" s="73"/>
      <c r="K22" s="73"/>
      <c r="L22" s="68"/>
      <c r="M22" s="68"/>
    </row>
    <row r="23" spans="1:40">
      <c r="A23" s="18">
        <v>4</v>
      </c>
      <c r="B23" s="18" t="s">
        <v>28</v>
      </c>
      <c r="C23" s="18">
        <f t="shared" si="2"/>
        <v>6975</v>
      </c>
      <c r="D23" s="50">
        <v>1500</v>
      </c>
      <c r="F23" s="68"/>
      <c r="G23" s="75"/>
      <c r="H23" s="70"/>
      <c r="I23" s="70"/>
      <c r="J23" s="70"/>
      <c r="K23" s="70"/>
      <c r="L23" s="68"/>
      <c r="M23" s="68"/>
    </row>
    <row r="24" spans="1:40">
      <c r="A24" s="18">
        <v>5</v>
      </c>
      <c r="B24" s="18" t="s">
        <v>29</v>
      </c>
      <c r="C24" s="18">
        <f t="shared" si="2"/>
        <v>225</v>
      </c>
      <c r="D24" s="50">
        <v>500</v>
      </c>
      <c r="F24" s="68"/>
      <c r="G24" s="75"/>
      <c r="H24" s="70"/>
      <c r="I24" s="70"/>
      <c r="J24" s="70"/>
      <c r="K24" s="71"/>
      <c r="L24" s="68"/>
      <c r="M24" s="68"/>
    </row>
    <row r="25" spans="1:40">
      <c r="A25" s="18">
        <v>6</v>
      </c>
      <c r="B25" s="18" t="s">
        <v>30</v>
      </c>
      <c r="C25" s="18">
        <f t="shared" si="2"/>
        <v>0</v>
      </c>
      <c r="D25" s="50">
        <v>500</v>
      </c>
      <c r="F25" s="68"/>
      <c r="G25" s="75"/>
      <c r="H25" s="70"/>
      <c r="I25" s="71"/>
      <c r="J25" s="71"/>
      <c r="K25" s="71"/>
      <c r="L25" s="68"/>
      <c r="M25" s="68"/>
    </row>
    <row r="26" spans="1:40">
      <c r="A26" s="18">
        <v>7</v>
      </c>
      <c r="B26" s="18" t="s">
        <v>31</v>
      </c>
      <c r="C26" s="18">
        <f t="shared" si="2"/>
        <v>925</v>
      </c>
      <c r="D26" s="50">
        <v>200</v>
      </c>
      <c r="F26" s="68"/>
      <c r="G26" s="78"/>
      <c r="H26" s="96"/>
      <c r="I26" s="79"/>
      <c r="J26" s="79"/>
      <c r="K26" s="79"/>
      <c r="L26" s="68"/>
      <c r="M26" s="68"/>
    </row>
    <row r="27" spans="1:40">
      <c r="A27" s="18">
        <v>8</v>
      </c>
      <c r="B27" s="18" t="s">
        <v>33</v>
      </c>
      <c r="C27" s="18">
        <f t="shared" si="2"/>
        <v>300</v>
      </c>
      <c r="D27" s="50">
        <v>500</v>
      </c>
      <c r="F27" s="68"/>
      <c r="G27" s="68"/>
      <c r="H27" s="68"/>
      <c r="I27" s="68"/>
      <c r="J27" s="68"/>
      <c r="K27" s="68"/>
      <c r="L27" s="68"/>
      <c r="M27" s="68"/>
    </row>
    <row r="28" spans="1:40">
      <c r="A28" s="18">
        <v>9</v>
      </c>
      <c r="B28" s="18" t="s">
        <v>34</v>
      </c>
      <c r="C28" s="18">
        <f t="shared" si="2"/>
        <v>900</v>
      </c>
      <c r="D28" s="50">
        <v>1000</v>
      </c>
    </row>
    <row r="29" spans="1:40">
      <c r="A29" s="18">
        <v>10</v>
      </c>
      <c r="B29" s="18" t="s">
        <v>74</v>
      </c>
      <c r="C29" s="18">
        <f t="shared" si="2"/>
        <v>0</v>
      </c>
      <c r="D29" s="50">
        <v>1000</v>
      </c>
    </row>
    <row r="30" spans="1:40">
      <c r="A30" s="18">
        <v>11</v>
      </c>
      <c r="B30" s="18" t="s">
        <v>35</v>
      </c>
      <c r="C30" s="18">
        <f t="shared" si="2"/>
        <v>-450</v>
      </c>
      <c r="D30" s="50">
        <v>1000</v>
      </c>
    </row>
    <row r="31" spans="1:40">
      <c r="A31" s="18">
        <v>12</v>
      </c>
      <c r="B31" s="18" t="s">
        <v>36</v>
      </c>
      <c r="C31" s="18">
        <f t="shared" si="2"/>
        <v>25</v>
      </c>
      <c r="D31" s="50">
        <v>100</v>
      </c>
    </row>
    <row r="32" spans="1:40">
      <c r="A32" s="18">
        <v>13</v>
      </c>
      <c r="B32" s="18" t="s">
        <v>52</v>
      </c>
      <c r="C32" s="18">
        <f t="shared" si="2"/>
        <v>350</v>
      </c>
      <c r="D32" s="50">
        <v>100</v>
      </c>
    </row>
    <row r="33" spans="1:4">
      <c r="A33" s="18">
        <v>14</v>
      </c>
      <c r="B33" s="18" t="s">
        <v>38</v>
      </c>
      <c r="C33" s="18">
        <f t="shared" si="2"/>
        <v>0</v>
      </c>
      <c r="D33" s="50">
        <v>1500</v>
      </c>
    </row>
  </sheetData>
  <mergeCells count="2">
    <mergeCell ref="A1:E1"/>
    <mergeCell ref="A17:C17"/>
  </mergeCells>
  <conditionalFormatting sqref="C1:C10 C13:C33">
    <cfRule type="expression" priority="3">
      <formula>C19&lt;B19</formula>
    </cfRule>
  </conditionalFormatting>
  <conditionalFormatting sqref="C11:C12">
    <cfRule type="expression" priority="6">
      <formula>C30&lt;B30</formula>
    </cfRule>
  </conditionalFormatting>
  <conditionalFormatting sqref="C34:C1048560">
    <cfRule type="expression" priority="2">
      <formula>C51&lt;B51</formula>
    </cfRule>
  </conditionalFormatting>
  <conditionalFormatting sqref="C1048561">
    <cfRule type="expression" priority="5">
      <formula>C1&lt;B1</formula>
    </cfRule>
  </conditionalFormatting>
  <conditionalFormatting sqref="C1048562:C1048576">
    <cfRule type="expression" priority="4">
      <formula>C1&lt;B1</formula>
    </cfRule>
  </conditionalFormatting>
  <conditionalFormatting sqref="C20:C33">
    <cfRule type="expression" dxfId="12" priority="1">
      <formula>$D20&gt;$C20</formula>
    </cfRule>
  </conditionalFormatting>
  <pageMargins left="0.7" right="0.7" top="0.75" bottom="0.75" header="0.3" footer="0.3"/>
  <pageSetup scale="6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4"/>
  <sheetViews>
    <sheetView zoomScaleNormal="10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S7" sqref="S7"/>
    </sheetView>
  </sheetViews>
  <sheetFormatPr defaultColWidth="9" defaultRowHeight="15"/>
  <cols>
    <col min="1" max="1" width="9" style="2"/>
    <col min="2" max="2" width="26.28515625" style="2" bestFit="1" customWidth="1"/>
    <col min="3" max="4" width="15" style="2" customWidth="1"/>
    <col min="5" max="5" width="10.85546875" style="2" customWidth="1"/>
    <col min="6" max="17" width="10.42578125" style="2" customWidth="1"/>
    <col min="18" max="25" width="10.42578125" customWidth="1"/>
    <col min="26" max="36" width="10.42578125" hidden="1" customWidth="1"/>
  </cols>
  <sheetData>
    <row r="1" spans="1:37" ht="30.75">
      <c r="A1" s="231" t="s">
        <v>7</v>
      </c>
      <c r="B1" s="231"/>
      <c r="C1" s="231"/>
      <c r="D1" s="231"/>
      <c r="E1" s="231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38"/>
    </row>
    <row r="2" spans="1:37" s="1" customFormat="1" ht="27.95" customHeight="1">
      <c r="A2" s="5" t="s">
        <v>57</v>
      </c>
      <c r="B2" s="5" t="s">
        <v>56</v>
      </c>
      <c r="C2" s="5" t="s">
        <v>103</v>
      </c>
      <c r="D2" s="5" t="s">
        <v>54</v>
      </c>
      <c r="E2" s="84" t="s">
        <v>130</v>
      </c>
      <c r="F2" s="6">
        <v>45931</v>
      </c>
      <c r="G2" s="6">
        <v>45932</v>
      </c>
      <c r="H2" s="6">
        <v>45933</v>
      </c>
      <c r="I2" s="6">
        <v>45934</v>
      </c>
      <c r="J2" s="6">
        <v>45935</v>
      </c>
      <c r="K2" s="6">
        <v>45936</v>
      </c>
      <c r="L2" s="6">
        <v>45937</v>
      </c>
      <c r="M2" s="6">
        <v>45938</v>
      </c>
      <c r="N2" s="6">
        <v>45939</v>
      </c>
      <c r="O2" s="6">
        <v>45940</v>
      </c>
      <c r="P2" s="6">
        <v>45941</v>
      </c>
      <c r="Q2" s="6">
        <v>45942</v>
      </c>
      <c r="R2" s="6">
        <v>45943</v>
      </c>
      <c r="S2" s="6">
        <v>45944</v>
      </c>
      <c r="T2" s="6">
        <v>45945</v>
      </c>
      <c r="U2" s="6">
        <v>45946</v>
      </c>
      <c r="V2" s="6">
        <v>45947</v>
      </c>
      <c r="W2" s="6">
        <v>45948</v>
      </c>
      <c r="X2" s="6">
        <v>45949</v>
      </c>
      <c r="Y2" s="6">
        <v>45950</v>
      </c>
      <c r="Z2" s="6">
        <v>45951</v>
      </c>
      <c r="AA2" s="6">
        <v>45952</v>
      </c>
      <c r="AB2" s="6">
        <v>45953</v>
      </c>
      <c r="AC2" s="6">
        <v>45954</v>
      </c>
      <c r="AD2" s="6">
        <v>45955</v>
      </c>
      <c r="AE2" s="6">
        <v>45956</v>
      </c>
      <c r="AF2" s="6">
        <v>45957</v>
      </c>
      <c r="AG2" s="6">
        <v>45958</v>
      </c>
      <c r="AH2" s="6">
        <v>45959</v>
      </c>
      <c r="AI2" s="6">
        <v>45960</v>
      </c>
      <c r="AJ2" s="6">
        <v>45961</v>
      </c>
      <c r="AK2" s="5" t="s">
        <v>5</v>
      </c>
    </row>
    <row r="3" spans="1:37">
      <c r="A3" s="18">
        <v>1</v>
      </c>
      <c r="B3" s="57" t="s">
        <v>84</v>
      </c>
      <c r="C3" s="3" t="s">
        <v>95</v>
      </c>
      <c r="D3" s="3" t="s">
        <v>1</v>
      </c>
      <c r="E3" s="7">
        <v>350</v>
      </c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66"/>
      <c r="R3" s="106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7">
        <f>E3-F3-G3-H3-I3-J3-K3-L3-M3-N3-O3-P3-Q3-R3-S3-T3-U3-V3-W3-X3-Y3-Z3-AA3-AB3-AC3-AD3-AE3-AF3-AG3-AH3-AI3-AJ3</f>
        <v>350</v>
      </c>
    </row>
    <row r="4" spans="1:37">
      <c r="A4" s="18">
        <v>2</v>
      </c>
      <c r="B4" s="57" t="s">
        <v>97</v>
      </c>
      <c r="C4" s="57" t="s">
        <v>96</v>
      </c>
      <c r="D4" s="3" t="s">
        <v>1</v>
      </c>
      <c r="E4" s="7">
        <v>300</v>
      </c>
      <c r="F4" s="106">
        <v>25</v>
      </c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66"/>
      <c r="R4" s="106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7">
        <f t="shared" ref="AK4:AK17" si="0">E4-F4-G4-H4-I4-J4-K4-L4-M4-N4-O4-P4-Q4-R4-S4-T4-U4-V4-W4-X4-Y4-Z4-AA4-AB4-AC4-AD4-AE4-AF4-AG4-AH4-AI4-AJ4</f>
        <v>275</v>
      </c>
    </row>
    <row r="5" spans="1:37">
      <c r="A5" s="18">
        <v>3</v>
      </c>
      <c r="B5" s="57" t="s">
        <v>85</v>
      </c>
      <c r="C5" s="57" t="s">
        <v>98</v>
      </c>
      <c r="D5" s="3" t="s">
        <v>1</v>
      </c>
      <c r="E5" s="7">
        <v>275</v>
      </c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66"/>
      <c r="R5" s="106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8"/>
      <c r="AE5" s="107"/>
      <c r="AF5" s="107"/>
      <c r="AG5" s="107"/>
      <c r="AH5" s="107"/>
      <c r="AI5" s="107"/>
      <c r="AJ5" s="107"/>
      <c r="AK5" s="7">
        <f t="shared" si="0"/>
        <v>275</v>
      </c>
    </row>
    <row r="6" spans="1:37">
      <c r="A6" s="18">
        <v>4</v>
      </c>
      <c r="B6" s="57" t="s">
        <v>99</v>
      </c>
      <c r="C6" s="57" t="s">
        <v>95</v>
      </c>
      <c r="D6" s="3" t="s">
        <v>1</v>
      </c>
      <c r="E6" s="7">
        <v>525</v>
      </c>
      <c r="F6" s="106"/>
      <c r="G6" s="106"/>
      <c r="H6" s="106"/>
      <c r="I6" s="106"/>
      <c r="J6" s="106"/>
      <c r="K6" s="106">
        <v>25</v>
      </c>
      <c r="L6" s="106"/>
      <c r="M6" s="106"/>
      <c r="N6" s="106"/>
      <c r="O6" s="106"/>
      <c r="P6" s="106"/>
      <c r="Q6" s="66">
        <v>25</v>
      </c>
      <c r="R6" s="106"/>
      <c r="S6" s="107">
        <v>25</v>
      </c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7">
        <f t="shared" si="0"/>
        <v>450</v>
      </c>
    </row>
    <row r="7" spans="1:37">
      <c r="A7" s="18">
        <v>5</v>
      </c>
      <c r="B7" s="57" t="s">
        <v>86</v>
      </c>
      <c r="C7" s="57" t="s">
        <v>100</v>
      </c>
      <c r="D7" s="3" t="s">
        <v>1</v>
      </c>
      <c r="E7" s="7">
        <v>100</v>
      </c>
      <c r="F7" s="106">
        <v>25</v>
      </c>
      <c r="G7" s="106"/>
      <c r="H7" s="106"/>
      <c r="I7" s="106"/>
      <c r="J7" s="106"/>
      <c r="K7" s="106"/>
      <c r="L7" s="106"/>
      <c r="M7" s="66"/>
      <c r="N7" s="106"/>
      <c r="O7" s="106"/>
      <c r="P7" s="106"/>
      <c r="Q7" s="66"/>
      <c r="R7" s="106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7">
        <f t="shared" si="0"/>
        <v>75</v>
      </c>
    </row>
    <row r="8" spans="1:37">
      <c r="A8" s="18">
        <v>6</v>
      </c>
      <c r="B8" s="57" t="s">
        <v>87</v>
      </c>
      <c r="C8" s="57" t="s">
        <v>101</v>
      </c>
      <c r="D8" s="4" t="s">
        <v>1</v>
      </c>
      <c r="E8" s="7">
        <v>100</v>
      </c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66"/>
      <c r="R8" s="106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7">
        <f t="shared" si="0"/>
        <v>100</v>
      </c>
    </row>
    <row r="9" spans="1:37">
      <c r="A9" s="18">
        <v>7</v>
      </c>
      <c r="B9" s="57" t="s">
        <v>88</v>
      </c>
      <c r="C9" s="57" t="s">
        <v>96</v>
      </c>
      <c r="D9" s="4" t="s">
        <v>1</v>
      </c>
      <c r="E9" s="7">
        <v>225</v>
      </c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66">
        <v>25</v>
      </c>
      <c r="R9" s="106"/>
      <c r="S9" s="107"/>
      <c r="T9" s="106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7">
        <f t="shared" si="0"/>
        <v>200</v>
      </c>
    </row>
    <row r="10" spans="1:37">
      <c r="A10" s="18">
        <v>8</v>
      </c>
      <c r="B10" s="57" t="s">
        <v>89</v>
      </c>
      <c r="C10" s="57" t="s">
        <v>96</v>
      </c>
      <c r="D10" s="4" t="s">
        <v>1</v>
      </c>
      <c r="E10" s="7">
        <v>100</v>
      </c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66"/>
      <c r="R10" s="106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7">
        <f t="shared" si="0"/>
        <v>100</v>
      </c>
    </row>
    <row r="11" spans="1:37">
      <c r="A11" s="18">
        <v>9</v>
      </c>
      <c r="B11" s="59" t="s">
        <v>104</v>
      </c>
      <c r="C11" s="57" t="s">
        <v>96</v>
      </c>
      <c r="D11" s="4" t="s">
        <v>1</v>
      </c>
      <c r="E11" s="7">
        <v>150</v>
      </c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66"/>
      <c r="R11" s="106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7">
        <f t="shared" si="0"/>
        <v>150</v>
      </c>
    </row>
    <row r="12" spans="1:37">
      <c r="A12" s="18">
        <v>10</v>
      </c>
      <c r="B12" s="57" t="s">
        <v>91</v>
      </c>
      <c r="C12" s="3" t="s">
        <v>96</v>
      </c>
      <c r="D12" s="3" t="s">
        <v>1</v>
      </c>
      <c r="E12" s="7">
        <v>100</v>
      </c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66"/>
      <c r="R12" s="106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7">
        <f t="shared" si="0"/>
        <v>100</v>
      </c>
    </row>
    <row r="13" spans="1:37">
      <c r="A13" s="18">
        <v>11</v>
      </c>
      <c r="B13" s="57" t="s">
        <v>92</v>
      </c>
      <c r="C13" s="57" t="s">
        <v>96</v>
      </c>
      <c r="D13" s="4" t="s">
        <v>1</v>
      </c>
      <c r="E13" s="7">
        <v>200</v>
      </c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66"/>
      <c r="R13" s="106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7">
        <f t="shared" si="0"/>
        <v>200</v>
      </c>
    </row>
    <row r="14" spans="1:37">
      <c r="A14" s="18">
        <v>12</v>
      </c>
      <c r="B14" s="3" t="s">
        <v>93</v>
      </c>
      <c r="C14" s="3" t="s">
        <v>96</v>
      </c>
      <c r="D14" s="3" t="s">
        <v>1</v>
      </c>
      <c r="E14" s="7">
        <v>250</v>
      </c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66"/>
      <c r="R14" s="106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7">
        <f t="shared" si="0"/>
        <v>250</v>
      </c>
    </row>
    <row r="15" spans="1:37">
      <c r="A15" s="18">
        <v>13</v>
      </c>
      <c r="B15" s="3" t="s">
        <v>111</v>
      </c>
      <c r="C15" s="3" t="s">
        <v>102</v>
      </c>
      <c r="D15" s="3" t="s">
        <v>1</v>
      </c>
      <c r="E15" s="7">
        <v>125</v>
      </c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66"/>
      <c r="R15" s="106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7">
        <f t="shared" si="0"/>
        <v>125</v>
      </c>
    </row>
    <row r="16" spans="1:37">
      <c r="A16" s="18">
        <v>14</v>
      </c>
      <c r="B16" s="3" t="s">
        <v>135</v>
      </c>
      <c r="C16" s="3" t="s">
        <v>96</v>
      </c>
      <c r="D16" s="3" t="s">
        <v>1</v>
      </c>
      <c r="E16" s="7">
        <v>50</v>
      </c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7">
        <f t="shared" si="0"/>
        <v>50</v>
      </c>
    </row>
    <row r="17" spans="1:37">
      <c r="A17" s="18">
        <v>15</v>
      </c>
      <c r="B17" s="3" t="s">
        <v>136</v>
      </c>
      <c r="C17" s="3" t="s">
        <v>96</v>
      </c>
      <c r="D17" s="3" t="s">
        <v>1</v>
      </c>
      <c r="E17" s="7">
        <v>100</v>
      </c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7">
        <f t="shared" si="0"/>
        <v>100</v>
      </c>
    </row>
    <row r="19" spans="1:37" ht="30">
      <c r="A19" s="5" t="s">
        <v>57</v>
      </c>
      <c r="B19" s="5" t="s">
        <v>56</v>
      </c>
      <c r="C19" s="5" t="s">
        <v>69</v>
      </c>
      <c r="D19" s="5" t="s">
        <v>68</v>
      </c>
    </row>
    <row r="20" spans="1:37">
      <c r="A20" s="18">
        <v>1</v>
      </c>
      <c r="B20" s="57" t="s">
        <v>84</v>
      </c>
      <c r="C20" s="18">
        <f>AK3</f>
        <v>350</v>
      </c>
      <c r="D20" s="50">
        <v>200</v>
      </c>
    </row>
    <row r="21" spans="1:37">
      <c r="A21" s="18">
        <v>2</v>
      </c>
      <c r="B21" s="57" t="s">
        <v>97</v>
      </c>
      <c r="C21" s="18">
        <f t="shared" ref="C21:C34" si="1">AK4</f>
        <v>275</v>
      </c>
      <c r="D21" s="50">
        <v>100</v>
      </c>
    </row>
    <row r="22" spans="1:37">
      <c r="A22" s="18">
        <v>3</v>
      </c>
      <c r="B22" s="57" t="s">
        <v>85</v>
      </c>
      <c r="C22" s="18">
        <f t="shared" si="1"/>
        <v>275</v>
      </c>
      <c r="D22" s="50">
        <v>200</v>
      </c>
    </row>
    <row r="23" spans="1:37">
      <c r="A23" s="18">
        <v>4</v>
      </c>
      <c r="B23" s="57" t="s">
        <v>99</v>
      </c>
      <c r="C23" s="18">
        <f t="shared" si="1"/>
        <v>450</v>
      </c>
      <c r="D23" s="50">
        <v>200</v>
      </c>
    </row>
    <row r="24" spans="1:37">
      <c r="A24" s="18">
        <v>5</v>
      </c>
      <c r="B24" s="57" t="s">
        <v>86</v>
      </c>
      <c r="C24" s="18">
        <f t="shared" si="1"/>
        <v>75</v>
      </c>
      <c r="D24" s="50">
        <v>100</v>
      </c>
    </row>
    <row r="25" spans="1:37">
      <c r="A25" s="18">
        <v>6</v>
      </c>
      <c r="B25" s="57" t="s">
        <v>87</v>
      </c>
      <c r="C25" s="18">
        <f t="shared" si="1"/>
        <v>100</v>
      </c>
      <c r="D25" s="50">
        <v>25</v>
      </c>
    </row>
    <row r="26" spans="1:37">
      <c r="A26" s="18">
        <v>7</v>
      </c>
      <c r="B26" s="57" t="s">
        <v>88</v>
      </c>
      <c r="C26" s="18">
        <f t="shared" si="1"/>
        <v>200</v>
      </c>
      <c r="D26" s="50">
        <v>200</v>
      </c>
    </row>
    <row r="27" spans="1:37">
      <c r="A27" s="18">
        <v>8</v>
      </c>
      <c r="B27" s="57" t="s">
        <v>89</v>
      </c>
      <c r="C27" s="18">
        <f t="shared" si="1"/>
        <v>100</v>
      </c>
      <c r="D27" s="50">
        <v>200</v>
      </c>
    </row>
    <row r="28" spans="1:37">
      <c r="A28" s="18">
        <v>9</v>
      </c>
      <c r="B28" s="59" t="s">
        <v>104</v>
      </c>
      <c r="C28" s="18">
        <f t="shared" si="1"/>
        <v>150</v>
      </c>
      <c r="D28" s="50">
        <v>100</v>
      </c>
    </row>
    <row r="29" spans="1:37">
      <c r="A29" s="18">
        <v>10</v>
      </c>
      <c r="B29" s="57" t="s">
        <v>91</v>
      </c>
      <c r="C29" s="18">
        <f t="shared" si="1"/>
        <v>100</v>
      </c>
      <c r="D29" s="50">
        <v>0</v>
      </c>
    </row>
    <row r="30" spans="1:37">
      <c r="A30" s="18">
        <v>11</v>
      </c>
      <c r="B30" s="57" t="s">
        <v>92</v>
      </c>
      <c r="C30" s="18">
        <f t="shared" si="1"/>
        <v>200</v>
      </c>
      <c r="D30" s="50">
        <v>100</v>
      </c>
    </row>
    <row r="31" spans="1:37">
      <c r="A31" s="18">
        <v>12</v>
      </c>
      <c r="B31" s="3" t="s">
        <v>93</v>
      </c>
      <c r="C31" s="18">
        <f t="shared" si="1"/>
        <v>250</v>
      </c>
      <c r="D31" s="50">
        <v>100</v>
      </c>
    </row>
    <row r="32" spans="1:37">
      <c r="A32" s="18">
        <v>13</v>
      </c>
      <c r="B32" s="3" t="s">
        <v>111</v>
      </c>
      <c r="C32" s="18">
        <f t="shared" si="1"/>
        <v>125</v>
      </c>
      <c r="D32" s="50">
        <v>25</v>
      </c>
    </row>
    <row r="33" spans="1:4">
      <c r="A33" s="18">
        <v>14</v>
      </c>
      <c r="B33" s="3" t="s">
        <v>135</v>
      </c>
      <c r="C33" s="18">
        <f t="shared" si="1"/>
        <v>50</v>
      </c>
      <c r="D33" s="50">
        <v>25</v>
      </c>
    </row>
    <row r="34" spans="1:4">
      <c r="A34" s="18">
        <v>15</v>
      </c>
      <c r="B34" s="3" t="s">
        <v>136</v>
      </c>
      <c r="C34" s="18">
        <f t="shared" si="1"/>
        <v>100</v>
      </c>
      <c r="D34" s="50">
        <v>75</v>
      </c>
    </row>
  </sheetData>
  <mergeCells count="1">
    <mergeCell ref="A1:E1"/>
  </mergeCells>
  <conditionalFormatting sqref="C20:C34">
    <cfRule type="expression" dxfId="11" priority="1">
      <formula>$D20&gt;$C20</formula>
    </cfRule>
  </conditionalFormatting>
  <pageMargins left="0.70866141732283472" right="0.70866141732283472" top="0.74803149606299213" bottom="0.74803149606299213" header="0.31496062992125984" footer="0.31496062992125984"/>
  <pageSetup scale="12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1"/>
  <sheetViews>
    <sheetView zoomScaleNormal="100" workbookViewId="0">
      <pane xSplit="5" ySplit="2" topLeftCell="AN3" activePane="bottomRight" state="frozen"/>
      <selection pane="topRight" activeCell="F1" sqref="F1"/>
      <selection pane="bottomLeft" activeCell="A3" sqref="A3"/>
      <selection pane="bottomRight" activeCell="AT10" sqref="AT10"/>
    </sheetView>
  </sheetViews>
  <sheetFormatPr defaultColWidth="9" defaultRowHeight="15"/>
  <cols>
    <col min="1" max="1" width="9" style="2"/>
    <col min="2" max="2" width="33.5703125" style="2" customWidth="1"/>
    <col min="3" max="3" width="15" style="2" customWidth="1"/>
    <col min="4" max="4" width="17" style="2" bestFit="1" customWidth="1"/>
    <col min="5" max="5" width="9" style="2"/>
    <col min="6" max="6" width="11.140625" style="2" customWidth="1"/>
    <col min="7" max="7" width="10.42578125" style="2" bestFit="1" customWidth="1"/>
    <col min="8" max="9" width="10.42578125" style="2" customWidth="1"/>
    <col min="10" max="11" width="11.140625" style="2" customWidth="1"/>
    <col min="12" max="13" width="10.28515625" style="2" customWidth="1"/>
    <col min="14" max="18" width="11.140625" style="2" customWidth="1"/>
    <col min="19" max="19" width="10.28515625" style="2" customWidth="1"/>
    <col min="20" max="25" width="11.140625" style="2" customWidth="1"/>
    <col min="26" max="26" width="10.42578125" style="2" customWidth="1"/>
    <col min="27" max="28" width="11.140625" style="2" customWidth="1"/>
    <col min="29" max="29" width="10.42578125" style="2" customWidth="1"/>
    <col min="30" max="36" width="11.140625" style="2" customWidth="1"/>
    <col min="37" max="37" width="10.42578125" style="2" customWidth="1"/>
    <col min="38" max="38" width="11.140625" style="2" customWidth="1"/>
    <col min="39" max="40" width="10.42578125" style="2" customWidth="1"/>
    <col min="41" max="41" width="11.140625" style="2" customWidth="1"/>
    <col min="42" max="42" width="10.140625" style="2" customWidth="1"/>
    <col min="43" max="47" width="11.140625" style="2" customWidth="1"/>
    <col min="48" max="48" width="9" style="2"/>
  </cols>
  <sheetData>
    <row r="1" spans="1:48" ht="31.5" thickBot="1">
      <c r="A1" s="231" t="s">
        <v>66</v>
      </c>
      <c r="B1" s="231"/>
      <c r="C1" s="231"/>
      <c r="D1" s="231"/>
      <c r="E1" s="231"/>
      <c r="F1" s="38"/>
      <c r="G1" s="38"/>
      <c r="H1" s="38"/>
      <c r="I1" s="117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114"/>
    </row>
    <row r="2" spans="1:48" s="1" customFormat="1" ht="32.25" customHeight="1" thickBot="1">
      <c r="A2" s="5" t="s">
        <v>57</v>
      </c>
      <c r="B2" s="5" t="s">
        <v>56</v>
      </c>
      <c r="C2" s="5" t="s">
        <v>55</v>
      </c>
      <c r="D2" s="5" t="s">
        <v>54</v>
      </c>
      <c r="E2" s="84" t="s">
        <v>144</v>
      </c>
      <c r="F2" s="105">
        <v>45962</v>
      </c>
      <c r="G2" s="105">
        <v>45963</v>
      </c>
      <c r="H2" s="115">
        <v>45964</v>
      </c>
      <c r="I2" s="118" t="s">
        <v>148</v>
      </c>
      <c r="J2" s="116">
        <v>45965</v>
      </c>
      <c r="K2" s="118" t="s">
        <v>149</v>
      </c>
      <c r="L2" s="105">
        <v>45966</v>
      </c>
      <c r="M2" s="118" t="s">
        <v>150</v>
      </c>
      <c r="N2" s="105">
        <v>45967</v>
      </c>
      <c r="O2" s="105">
        <v>45968</v>
      </c>
      <c r="P2" s="118" t="s">
        <v>154</v>
      </c>
      <c r="Q2" s="105">
        <v>45969</v>
      </c>
      <c r="R2" s="105">
        <v>45970</v>
      </c>
      <c r="S2" s="105">
        <v>45971</v>
      </c>
      <c r="T2" s="105">
        <v>45972</v>
      </c>
      <c r="U2" s="118" t="s">
        <v>157</v>
      </c>
      <c r="V2" s="105">
        <v>45973</v>
      </c>
      <c r="W2" s="105">
        <v>45974</v>
      </c>
      <c r="X2" s="118" t="s">
        <v>159</v>
      </c>
      <c r="Y2" s="105">
        <v>45975</v>
      </c>
      <c r="Z2" s="105">
        <v>45976</v>
      </c>
      <c r="AA2" s="105">
        <v>45977</v>
      </c>
      <c r="AB2" s="118" t="s">
        <v>161</v>
      </c>
      <c r="AC2" s="105">
        <v>45978</v>
      </c>
      <c r="AD2" s="105">
        <v>45979</v>
      </c>
      <c r="AE2" s="118" t="s">
        <v>162</v>
      </c>
      <c r="AF2" s="105">
        <v>45980</v>
      </c>
      <c r="AG2" s="118" t="s">
        <v>163</v>
      </c>
      <c r="AH2" s="105">
        <v>45981</v>
      </c>
      <c r="AI2" s="118" t="s">
        <v>164</v>
      </c>
      <c r="AJ2" s="105">
        <v>45982</v>
      </c>
      <c r="AK2" s="105">
        <v>45983</v>
      </c>
      <c r="AL2" s="105">
        <v>45984</v>
      </c>
      <c r="AM2" s="105">
        <v>45985</v>
      </c>
      <c r="AN2" s="118" t="s">
        <v>165</v>
      </c>
      <c r="AO2" s="105">
        <v>45986</v>
      </c>
      <c r="AP2" s="105">
        <v>45987</v>
      </c>
      <c r="AQ2" s="105">
        <v>45988</v>
      </c>
      <c r="AR2" s="118" t="s">
        <v>167</v>
      </c>
      <c r="AS2" s="105">
        <v>45989</v>
      </c>
      <c r="AT2" s="105">
        <v>45990</v>
      </c>
      <c r="AU2" s="105">
        <v>45991</v>
      </c>
      <c r="AV2" s="5" t="s">
        <v>5</v>
      </c>
    </row>
    <row r="3" spans="1:48" ht="15.75" thickBot="1">
      <c r="A3" s="18">
        <v>1</v>
      </c>
      <c r="B3" s="18" t="s">
        <v>32</v>
      </c>
      <c r="C3" s="18" t="s">
        <v>0</v>
      </c>
      <c r="D3" s="18" t="s">
        <v>1</v>
      </c>
      <c r="E3" s="7">
        <v>1900</v>
      </c>
      <c r="F3" s="83"/>
      <c r="G3" s="83"/>
      <c r="H3" s="83"/>
      <c r="I3" s="112"/>
      <c r="J3" s="83"/>
      <c r="K3" s="111"/>
      <c r="L3" s="83"/>
      <c r="M3" s="83"/>
      <c r="N3" s="83"/>
      <c r="O3" s="103">
        <v>250</v>
      </c>
      <c r="P3" s="103"/>
      <c r="Q3" s="103">
        <v>100</v>
      </c>
      <c r="R3" s="83"/>
      <c r="S3" s="110">
        <v>625</v>
      </c>
      <c r="T3" s="83">
        <v>800</v>
      </c>
      <c r="U3" s="123">
        <v>4000</v>
      </c>
      <c r="V3" s="83">
        <v>775</v>
      </c>
      <c r="W3" s="83">
        <v>200</v>
      </c>
      <c r="X3" s="83"/>
      <c r="Y3" s="83">
        <v>300</v>
      </c>
      <c r="Z3" s="66">
        <v>400</v>
      </c>
      <c r="AA3" s="83"/>
      <c r="AB3" s="83"/>
      <c r="AC3" s="83">
        <v>325</v>
      </c>
      <c r="AD3" s="83">
        <v>575</v>
      </c>
      <c r="AE3" s="83"/>
      <c r="AF3" s="83">
        <v>500</v>
      </c>
      <c r="AG3" s="83"/>
      <c r="AH3" s="83"/>
      <c r="AI3" s="83"/>
      <c r="AJ3" s="83"/>
      <c r="AK3" s="83"/>
      <c r="AL3" s="83"/>
      <c r="AM3" s="83"/>
      <c r="AN3" s="83"/>
      <c r="AO3" s="83">
        <v>250</v>
      </c>
      <c r="AP3" s="83">
        <v>125</v>
      </c>
      <c r="AQ3" s="83"/>
      <c r="AR3" s="83"/>
      <c r="AS3" s="83"/>
      <c r="AT3" s="83"/>
      <c r="AU3" s="83"/>
      <c r="AV3" s="7">
        <f>E3-F3-G3-H3+I3-J3+K3-L3-N3-O3+P3-Q3-R3-S3-T3+U3-V3-W3+X3-Y3-Z3-AA3+AB3-AC3-AD3+AE3-AF3+AG3-AH3+AI3-AJ3-AK3-AL3-AM3+AN3-AO3-AP3-AQ3+AR3-AS3-AT3-AU3</f>
        <v>675</v>
      </c>
    </row>
    <row r="4" spans="1:48" ht="15.75" thickBot="1">
      <c r="A4" s="18">
        <v>2</v>
      </c>
      <c r="B4" s="18" t="s">
        <v>26</v>
      </c>
      <c r="C4" s="18" t="s">
        <v>0</v>
      </c>
      <c r="D4" s="18" t="s">
        <v>1</v>
      </c>
      <c r="E4" s="7">
        <v>1300</v>
      </c>
      <c r="F4" s="83"/>
      <c r="G4" s="83"/>
      <c r="H4" s="83">
        <v>250</v>
      </c>
      <c r="I4" s="83"/>
      <c r="J4" s="113">
        <v>650</v>
      </c>
      <c r="K4" s="65">
        <v>5000</v>
      </c>
      <c r="L4" s="110">
        <v>525</v>
      </c>
      <c r="M4" s="110"/>
      <c r="N4" s="83">
        <v>500</v>
      </c>
      <c r="O4" s="83">
        <v>650</v>
      </c>
      <c r="P4" s="83"/>
      <c r="Q4" s="83"/>
      <c r="R4" s="83"/>
      <c r="S4" s="83">
        <v>375</v>
      </c>
      <c r="T4" s="83"/>
      <c r="U4" s="83"/>
      <c r="V4" s="83"/>
      <c r="W4" s="83"/>
      <c r="X4" s="83"/>
      <c r="Y4" s="83"/>
      <c r="Z4" s="83"/>
      <c r="AA4" s="83"/>
      <c r="AB4" s="83"/>
      <c r="AC4" s="66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7">
        <f t="shared" ref="AV4:AV20" si="0">E4-F4-G4-H4+I4-J4+K4-L4-N4-O4+P4-Q4-R4-S4-T4+U4-V4-W4+X4-Y4-Z4-AA4+AB4-AC4-AD4+AE4-AF4+AG4-AH4+AI4-AJ4-AK4-AL4-AM4+AN4-AO4-AP4-AQ4+AR4-AS4-AT4-AU4</f>
        <v>3350</v>
      </c>
    </row>
    <row r="5" spans="1:48" ht="15.75" thickBot="1">
      <c r="A5" s="18">
        <v>3</v>
      </c>
      <c r="B5" s="18" t="s">
        <v>27</v>
      </c>
      <c r="C5" s="18" t="s">
        <v>0</v>
      </c>
      <c r="D5" s="18" t="s">
        <v>1</v>
      </c>
      <c r="E5" s="7">
        <v>1050</v>
      </c>
      <c r="F5" s="83"/>
      <c r="G5" s="83"/>
      <c r="H5" s="83"/>
      <c r="I5" s="83"/>
      <c r="J5" s="83"/>
      <c r="K5" s="112"/>
      <c r="L5" s="83"/>
      <c r="M5" s="83"/>
      <c r="N5" s="83"/>
      <c r="O5" s="110"/>
      <c r="P5" s="110"/>
      <c r="Q5" s="110"/>
      <c r="R5" s="83"/>
      <c r="S5" s="83"/>
      <c r="T5" s="83">
        <v>200</v>
      </c>
      <c r="U5" s="123">
        <v>1000</v>
      </c>
      <c r="V5" s="83">
        <v>200</v>
      </c>
      <c r="W5" s="83">
        <v>125</v>
      </c>
      <c r="X5" s="83"/>
      <c r="Y5" s="83">
        <v>325</v>
      </c>
      <c r="Z5" s="83">
        <v>250</v>
      </c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>
        <v>100</v>
      </c>
      <c r="AT5" s="83">
        <v>250</v>
      </c>
      <c r="AU5" s="83"/>
      <c r="AV5" s="7">
        <f t="shared" si="0"/>
        <v>600</v>
      </c>
    </row>
    <row r="6" spans="1:48">
      <c r="A6" s="18">
        <v>4</v>
      </c>
      <c r="B6" s="18" t="s">
        <v>28</v>
      </c>
      <c r="C6" s="18" t="s">
        <v>0</v>
      </c>
      <c r="D6" s="18" t="s">
        <v>1</v>
      </c>
      <c r="E6" s="7">
        <v>7325</v>
      </c>
      <c r="F6" s="83"/>
      <c r="G6" s="83"/>
      <c r="H6" s="83">
        <v>1200</v>
      </c>
      <c r="I6" s="83"/>
      <c r="J6" s="83">
        <v>1200</v>
      </c>
      <c r="K6" s="83"/>
      <c r="L6" s="83">
        <v>1350</v>
      </c>
      <c r="M6" s="83"/>
      <c r="N6" s="83">
        <v>1200</v>
      </c>
      <c r="O6" s="83">
        <v>225</v>
      </c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7">
        <f t="shared" si="0"/>
        <v>2150</v>
      </c>
    </row>
    <row r="7" spans="1:48">
      <c r="A7" s="18">
        <v>5</v>
      </c>
      <c r="B7" s="18" t="s">
        <v>106</v>
      </c>
      <c r="C7" s="18" t="s">
        <v>2</v>
      </c>
      <c r="D7" s="18" t="s">
        <v>1</v>
      </c>
      <c r="E7" s="7">
        <v>225</v>
      </c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7">
        <f t="shared" si="0"/>
        <v>225</v>
      </c>
    </row>
    <row r="8" spans="1:48" ht="15.75" thickBot="1">
      <c r="A8" s="18">
        <v>6</v>
      </c>
      <c r="B8" s="18" t="s">
        <v>30</v>
      </c>
      <c r="C8" s="18" t="s">
        <v>2</v>
      </c>
      <c r="D8" s="18" t="s">
        <v>1</v>
      </c>
      <c r="E8" s="7">
        <v>0</v>
      </c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7">
        <f t="shared" si="0"/>
        <v>0</v>
      </c>
    </row>
    <row r="9" spans="1:48" ht="15.75" thickBot="1">
      <c r="A9" s="18">
        <v>7</v>
      </c>
      <c r="B9" s="18" t="s">
        <v>166</v>
      </c>
      <c r="C9" s="18" t="s">
        <v>2</v>
      </c>
      <c r="D9" s="18" t="s">
        <v>1</v>
      </c>
      <c r="E9" s="7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123">
        <v>1000</v>
      </c>
      <c r="AO9" s="83"/>
      <c r="AP9" s="83"/>
      <c r="AQ9" s="83"/>
      <c r="AR9" s="83"/>
      <c r="AS9" s="83"/>
      <c r="AT9" s="83"/>
      <c r="AU9" s="83"/>
      <c r="AV9" s="7">
        <f t="shared" si="0"/>
        <v>1000</v>
      </c>
    </row>
    <row r="10" spans="1:48" ht="15.75" thickBot="1">
      <c r="A10" s="18">
        <v>8</v>
      </c>
      <c r="B10" s="18" t="s">
        <v>31</v>
      </c>
      <c r="C10" s="18" t="s">
        <v>2</v>
      </c>
      <c r="D10" s="18" t="s">
        <v>1</v>
      </c>
      <c r="E10" s="7">
        <v>825</v>
      </c>
      <c r="F10" s="83"/>
      <c r="G10" s="83"/>
      <c r="H10" s="83"/>
      <c r="I10" s="83"/>
      <c r="J10" s="83"/>
      <c r="K10" s="83"/>
      <c r="L10" s="66"/>
      <c r="M10" s="66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7">
        <f t="shared" si="0"/>
        <v>825</v>
      </c>
    </row>
    <row r="11" spans="1:48" ht="15.75" thickBot="1">
      <c r="A11" s="18">
        <v>9</v>
      </c>
      <c r="B11" s="18" t="s">
        <v>33</v>
      </c>
      <c r="C11" s="18" t="s">
        <v>2</v>
      </c>
      <c r="D11" s="18" t="s">
        <v>1</v>
      </c>
      <c r="E11" s="7">
        <v>2625</v>
      </c>
      <c r="F11" s="83">
        <v>75</v>
      </c>
      <c r="G11" s="83"/>
      <c r="H11" s="66"/>
      <c r="I11" s="66"/>
      <c r="J11" s="83"/>
      <c r="K11" s="83"/>
      <c r="L11" s="66"/>
      <c r="M11" s="66"/>
      <c r="N11" s="83"/>
      <c r="O11" s="83"/>
      <c r="P11" s="83"/>
      <c r="Q11" s="83">
        <v>275</v>
      </c>
      <c r="R11" s="83">
        <v>200</v>
      </c>
      <c r="S11" s="83">
        <v>200</v>
      </c>
      <c r="T11" s="83">
        <v>225</v>
      </c>
      <c r="U11" s="83"/>
      <c r="V11" s="83">
        <v>200</v>
      </c>
      <c r="W11" s="83">
        <v>200</v>
      </c>
      <c r="X11" s="83"/>
      <c r="Y11" s="83">
        <v>400</v>
      </c>
      <c r="Z11" s="83">
        <v>375</v>
      </c>
      <c r="AA11" s="83"/>
      <c r="AB11" s="123">
        <v>5000</v>
      </c>
      <c r="AC11" s="83"/>
      <c r="AD11" s="83">
        <v>225</v>
      </c>
      <c r="AE11" s="83"/>
      <c r="AF11" s="83">
        <v>100</v>
      </c>
      <c r="AG11" s="83"/>
      <c r="AH11" s="83">
        <v>500</v>
      </c>
      <c r="AI11" s="83"/>
      <c r="AJ11" s="83"/>
      <c r="AK11" s="66">
        <v>50</v>
      </c>
      <c r="AL11" s="83"/>
      <c r="AM11" s="83">
        <v>25</v>
      </c>
      <c r="AN11" s="83"/>
      <c r="AO11" s="83">
        <v>400</v>
      </c>
      <c r="AP11" s="66">
        <v>125</v>
      </c>
      <c r="AQ11" s="83"/>
      <c r="AR11" s="83"/>
      <c r="AS11" s="83"/>
      <c r="AT11" s="83">
        <v>50</v>
      </c>
      <c r="AU11" s="83"/>
      <c r="AV11" s="7">
        <f t="shared" si="0"/>
        <v>4000</v>
      </c>
    </row>
    <row r="12" spans="1:48">
      <c r="A12" s="18">
        <v>10</v>
      </c>
      <c r="B12" s="18" t="s">
        <v>34</v>
      </c>
      <c r="C12" s="18" t="s">
        <v>2</v>
      </c>
      <c r="D12" s="18" t="s">
        <v>1</v>
      </c>
      <c r="E12" s="7">
        <v>975</v>
      </c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66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7">
        <f t="shared" si="0"/>
        <v>975</v>
      </c>
    </row>
    <row r="13" spans="1:48" ht="15.75" thickBot="1">
      <c r="A13" s="18">
        <v>11</v>
      </c>
      <c r="B13" s="18" t="s">
        <v>74</v>
      </c>
      <c r="C13" s="18" t="s">
        <v>2</v>
      </c>
      <c r="D13" s="18" t="s">
        <v>1</v>
      </c>
      <c r="E13" s="7">
        <v>0</v>
      </c>
      <c r="F13" s="83"/>
      <c r="G13" s="83"/>
      <c r="H13" s="83"/>
      <c r="I13" s="111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7">
        <f t="shared" si="0"/>
        <v>0</v>
      </c>
    </row>
    <row r="14" spans="1:48" ht="15.75" thickBot="1">
      <c r="A14" s="18">
        <v>12</v>
      </c>
      <c r="B14" s="18" t="s">
        <v>35</v>
      </c>
      <c r="C14" s="18" t="s">
        <v>3</v>
      </c>
      <c r="D14" s="18" t="s">
        <v>1</v>
      </c>
      <c r="E14" s="7">
        <v>125</v>
      </c>
      <c r="F14" s="83">
        <v>125</v>
      </c>
      <c r="G14" s="83"/>
      <c r="H14" s="113"/>
      <c r="I14" s="65">
        <v>2000</v>
      </c>
      <c r="J14" s="110">
        <v>50</v>
      </c>
      <c r="K14" s="110"/>
      <c r="L14" s="66">
        <v>175</v>
      </c>
      <c r="M14" s="66"/>
      <c r="N14" s="83">
        <v>150</v>
      </c>
      <c r="O14" s="83"/>
      <c r="P14" s="83"/>
      <c r="Q14" s="83"/>
      <c r="R14" s="83">
        <v>75</v>
      </c>
      <c r="S14" s="83">
        <v>100</v>
      </c>
      <c r="T14" s="83">
        <v>200</v>
      </c>
      <c r="U14" s="83"/>
      <c r="V14" s="83">
        <v>150</v>
      </c>
      <c r="W14" s="83">
        <v>800</v>
      </c>
      <c r="X14" s="123">
        <v>2000</v>
      </c>
      <c r="Y14" s="83">
        <v>250</v>
      </c>
      <c r="Z14" s="136">
        <v>400</v>
      </c>
      <c r="AA14" s="83"/>
      <c r="AB14" s="83"/>
      <c r="AC14" s="83">
        <v>500</v>
      </c>
      <c r="AD14" s="83">
        <v>400</v>
      </c>
      <c r="AE14" s="83"/>
      <c r="AF14" s="83">
        <v>325</v>
      </c>
      <c r="AG14" s="83"/>
      <c r="AH14" s="83"/>
      <c r="AI14" s="123">
        <v>2000</v>
      </c>
      <c r="AJ14" s="83">
        <v>325</v>
      </c>
      <c r="AK14" s="83">
        <v>725</v>
      </c>
      <c r="AL14" s="83"/>
      <c r="AM14" s="66">
        <v>625</v>
      </c>
      <c r="AN14" s="66"/>
      <c r="AO14" s="83"/>
      <c r="AP14" s="83"/>
      <c r="AQ14" s="83">
        <v>225</v>
      </c>
      <c r="AR14" s="123">
        <v>2000</v>
      </c>
      <c r="AS14" s="83"/>
      <c r="AT14" s="83">
        <v>125</v>
      </c>
      <c r="AU14" s="83"/>
      <c r="AV14" s="7">
        <f t="shared" si="0"/>
        <v>2400</v>
      </c>
    </row>
    <row r="15" spans="1:48">
      <c r="A15" s="18">
        <v>13</v>
      </c>
      <c r="B15" s="18" t="s">
        <v>36</v>
      </c>
      <c r="C15" s="18" t="s">
        <v>2</v>
      </c>
      <c r="D15" s="18" t="s">
        <v>1</v>
      </c>
      <c r="E15" s="7">
        <v>150</v>
      </c>
      <c r="F15" s="83"/>
      <c r="G15" s="83"/>
      <c r="H15" s="83"/>
      <c r="I15" s="112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7">
        <f t="shared" si="0"/>
        <v>150</v>
      </c>
    </row>
    <row r="16" spans="1:48">
      <c r="A16" s="18">
        <v>14</v>
      </c>
      <c r="B16" s="18" t="s">
        <v>52</v>
      </c>
      <c r="C16" s="18" t="s">
        <v>37</v>
      </c>
      <c r="D16" s="18" t="s">
        <v>1</v>
      </c>
      <c r="E16" s="7">
        <v>350</v>
      </c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7">
        <f t="shared" si="0"/>
        <v>350</v>
      </c>
    </row>
    <row r="17" spans="1:48" ht="15.75" thickBot="1">
      <c r="A17" s="18">
        <v>15</v>
      </c>
      <c r="B17" s="18" t="s">
        <v>38</v>
      </c>
      <c r="C17" s="18" t="s">
        <v>6</v>
      </c>
      <c r="D17" s="18" t="s">
        <v>1</v>
      </c>
      <c r="E17" s="7">
        <v>0</v>
      </c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111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7">
        <f t="shared" si="0"/>
        <v>0</v>
      </c>
    </row>
    <row r="18" spans="1:48" ht="15.75" thickBot="1">
      <c r="A18" s="18">
        <v>16</v>
      </c>
      <c r="B18" s="119" t="s">
        <v>153</v>
      </c>
      <c r="C18" s="18" t="s">
        <v>2</v>
      </c>
      <c r="D18" s="18" t="s">
        <v>1</v>
      </c>
      <c r="E18" s="7">
        <v>0</v>
      </c>
      <c r="F18" s="83"/>
      <c r="G18" s="83"/>
      <c r="H18" s="83"/>
      <c r="I18" s="83"/>
      <c r="J18" s="83"/>
      <c r="K18" s="83"/>
      <c r="L18" s="83"/>
      <c r="M18" s="123">
        <v>750</v>
      </c>
      <c r="N18" s="83"/>
      <c r="O18" s="113">
        <v>400</v>
      </c>
      <c r="P18" s="123">
        <v>6000</v>
      </c>
      <c r="Q18" s="110">
        <v>450</v>
      </c>
      <c r="R18" s="83">
        <v>400</v>
      </c>
      <c r="S18" s="83">
        <v>400</v>
      </c>
      <c r="T18" s="83">
        <v>500</v>
      </c>
      <c r="U18" s="83"/>
      <c r="V18" s="83">
        <v>400</v>
      </c>
      <c r="W18" s="83">
        <v>400</v>
      </c>
      <c r="X18" s="83"/>
      <c r="Y18" s="83">
        <v>400</v>
      </c>
      <c r="Z18" s="83">
        <v>500</v>
      </c>
      <c r="AA18" s="83"/>
      <c r="AB18" s="83"/>
      <c r="AC18" s="83">
        <v>600</v>
      </c>
      <c r="AD18" s="83">
        <v>75</v>
      </c>
      <c r="AE18" s="123">
        <v>700</v>
      </c>
      <c r="AF18" s="83">
        <v>400</v>
      </c>
      <c r="AG18" s="123">
        <v>6000</v>
      </c>
      <c r="AH18" s="83">
        <v>500</v>
      </c>
      <c r="AI18" s="83"/>
      <c r="AJ18" s="83">
        <v>200</v>
      </c>
      <c r="AK18" s="83">
        <v>300</v>
      </c>
      <c r="AL18" s="83"/>
      <c r="AM18" s="83">
        <v>250</v>
      </c>
      <c r="AN18" s="83"/>
      <c r="AO18" s="83">
        <v>350</v>
      </c>
      <c r="AP18" s="83">
        <v>50</v>
      </c>
      <c r="AQ18" s="83">
        <v>450</v>
      </c>
      <c r="AR18" s="83"/>
      <c r="AS18" s="83">
        <v>450</v>
      </c>
      <c r="AT18" s="83">
        <v>575</v>
      </c>
      <c r="AU18" s="83"/>
      <c r="AV18" s="7">
        <f t="shared" si="0"/>
        <v>4650</v>
      </c>
    </row>
    <row r="19" spans="1:48" ht="15.75" thickBot="1">
      <c r="A19" s="18">
        <v>17</v>
      </c>
      <c r="B19" s="119" t="s">
        <v>152</v>
      </c>
      <c r="C19" s="18"/>
      <c r="D19" s="18" t="s">
        <v>1</v>
      </c>
      <c r="E19" s="7">
        <v>0</v>
      </c>
      <c r="F19" s="83"/>
      <c r="G19" s="83"/>
      <c r="H19" s="83"/>
      <c r="I19" s="83"/>
      <c r="J19" s="83"/>
      <c r="K19" s="83"/>
      <c r="L19" s="83"/>
      <c r="M19" s="124">
        <v>300</v>
      </c>
      <c r="N19" s="83"/>
      <c r="O19" s="113">
        <v>200</v>
      </c>
      <c r="P19" s="124">
        <v>2000</v>
      </c>
      <c r="Q19" s="110">
        <v>100</v>
      </c>
      <c r="R19" s="83">
        <v>125</v>
      </c>
      <c r="S19" s="83">
        <v>100</v>
      </c>
      <c r="T19" s="83">
        <v>150</v>
      </c>
      <c r="U19" s="83"/>
      <c r="V19" s="83">
        <v>200</v>
      </c>
      <c r="W19" s="83">
        <v>175</v>
      </c>
      <c r="X19" s="83"/>
      <c r="Y19" s="83">
        <v>100</v>
      </c>
      <c r="Z19" s="83">
        <v>175</v>
      </c>
      <c r="AA19" s="83"/>
      <c r="AB19" s="83"/>
      <c r="AC19" s="83">
        <v>200</v>
      </c>
      <c r="AD19" s="83">
        <v>125</v>
      </c>
      <c r="AE19" s="123">
        <v>700</v>
      </c>
      <c r="AF19" s="83">
        <v>100</v>
      </c>
      <c r="AG19" s="83"/>
      <c r="AH19" s="83">
        <v>175</v>
      </c>
      <c r="AI19" s="83"/>
      <c r="AJ19" s="83">
        <v>50</v>
      </c>
      <c r="AK19" s="83">
        <v>150</v>
      </c>
      <c r="AL19" s="83"/>
      <c r="AM19" s="83">
        <v>75</v>
      </c>
      <c r="AN19" s="83"/>
      <c r="AO19" s="83">
        <v>175</v>
      </c>
      <c r="AP19" s="83">
        <v>25</v>
      </c>
      <c r="AQ19" s="83">
        <v>200</v>
      </c>
      <c r="AR19" s="123">
        <v>500</v>
      </c>
      <c r="AS19" s="83">
        <v>150</v>
      </c>
      <c r="AT19" s="83">
        <v>75</v>
      </c>
      <c r="AU19" s="83"/>
      <c r="AV19" s="7">
        <f t="shared" si="0"/>
        <v>375</v>
      </c>
    </row>
    <row r="20" spans="1:48" ht="15.75" thickBot="1">
      <c r="A20" s="18">
        <v>18</v>
      </c>
      <c r="B20" s="119" t="s">
        <v>158</v>
      </c>
      <c r="C20" s="18" t="s">
        <v>2</v>
      </c>
      <c r="D20" s="18" t="s">
        <v>1</v>
      </c>
      <c r="E20" s="7">
        <v>0</v>
      </c>
      <c r="F20" s="83"/>
      <c r="G20" s="83"/>
      <c r="H20" s="83"/>
      <c r="I20" s="83"/>
      <c r="J20" s="83"/>
      <c r="K20" s="83"/>
      <c r="L20" s="83"/>
      <c r="M20" s="128"/>
      <c r="N20" s="83"/>
      <c r="O20" s="113"/>
      <c r="P20" s="128"/>
      <c r="Q20" s="110"/>
      <c r="R20" s="83"/>
      <c r="S20" s="83"/>
      <c r="T20" s="83"/>
      <c r="U20" s="123">
        <v>500</v>
      </c>
      <c r="V20" s="83"/>
      <c r="W20" s="83">
        <v>50</v>
      </c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7">
        <f t="shared" si="0"/>
        <v>450</v>
      </c>
    </row>
    <row r="21" spans="1:48" ht="15.75">
      <c r="A21" s="228"/>
      <c r="B21" s="229"/>
      <c r="C21" s="230"/>
      <c r="D21" s="16" t="s">
        <v>51</v>
      </c>
      <c r="E21" s="15">
        <f>SUM(E3:E20)</f>
        <v>16850</v>
      </c>
      <c r="F21" s="15">
        <f>SUM(F3:F19)</f>
        <v>200</v>
      </c>
      <c r="G21" s="15">
        <f t="shared" ref="G21:Y21" si="1">SUM(G3:G19)</f>
        <v>0</v>
      </c>
      <c r="H21" s="15">
        <f t="shared" si="1"/>
        <v>1450</v>
      </c>
      <c r="I21" s="15">
        <f t="shared" si="1"/>
        <v>2000</v>
      </c>
      <c r="J21" s="15">
        <f t="shared" si="1"/>
        <v>1900</v>
      </c>
      <c r="K21" s="15">
        <f t="shared" si="1"/>
        <v>5000</v>
      </c>
      <c r="L21" s="15">
        <f t="shared" si="1"/>
        <v>2050</v>
      </c>
      <c r="M21" s="15">
        <f t="shared" si="1"/>
        <v>1050</v>
      </c>
      <c r="N21" s="15">
        <f t="shared" si="1"/>
        <v>1850</v>
      </c>
      <c r="O21" s="15">
        <f t="shared" si="1"/>
        <v>1725</v>
      </c>
      <c r="P21" s="127">
        <f t="shared" si="1"/>
        <v>8000</v>
      </c>
      <c r="Q21" s="15">
        <f t="shared" si="1"/>
        <v>925</v>
      </c>
      <c r="R21" s="15">
        <f t="shared" si="1"/>
        <v>800</v>
      </c>
      <c r="S21" s="15">
        <f t="shared" si="1"/>
        <v>1800</v>
      </c>
      <c r="T21" s="15">
        <f t="shared" si="1"/>
        <v>2075</v>
      </c>
      <c r="U21" s="15"/>
      <c r="V21" s="15">
        <f t="shared" si="1"/>
        <v>1925</v>
      </c>
      <c r="W21" s="15">
        <f t="shared" si="1"/>
        <v>1900</v>
      </c>
      <c r="X21" s="15"/>
      <c r="Y21" s="15">
        <f t="shared" si="1"/>
        <v>1775</v>
      </c>
      <c r="Z21" s="15">
        <f t="shared" ref="Z21:AU21" si="2">SUM(Z3:Z17)</f>
        <v>1425</v>
      </c>
      <c r="AA21" s="15">
        <f t="shared" si="2"/>
        <v>0</v>
      </c>
      <c r="AB21" s="15"/>
      <c r="AC21" s="15">
        <f t="shared" si="2"/>
        <v>825</v>
      </c>
      <c r="AD21" s="15">
        <f t="shared" si="2"/>
        <v>1200</v>
      </c>
      <c r="AE21" s="15"/>
      <c r="AF21" s="15">
        <f t="shared" si="2"/>
        <v>925</v>
      </c>
      <c r="AG21" s="15"/>
      <c r="AH21" s="15">
        <f t="shared" si="2"/>
        <v>500</v>
      </c>
      <c r="AI21" s="15"/>
      <c r="AJ21" s="15">
        <f t="shared" si="2"/>
        <v>325</v>
      </c>
      <c r="AK21" s="15">
        <f t="shared" si="2"/>
        <v>775</v>
      </c>
      <c r="AL21" s="15">
        <f t="shared" si="2"/>
        <v>0</v>
      </c>
      <c r="AM21" s="15">
        <f t="shared" si="2"/>
        <v>650</v>
      </c>
      <c r="AN21" s="15"/>
      <c r="AO21" s="15">
        <f t="shared" si="2"/>
        <v>650</v>
      </c>
      <c r="AP21" s="15">
        <f t="shared" si="2"/>
        <v>250</v>
      </c>
      <c r="AQ21" s="15">
        <f t="shared" si="2"/>
        <v>225</v>
      </c>
      <c r="AR21" s="15"/>
      <c r="AS21" s="15">
        <f t="shared" si="2"/>
        <v>100</v>
      </c>
      <c r="AT21" s="15">
        <f t="shared" si="2"/>
        <v>425</v>
      </c>
      <c r="AU21" s="15">
        <f t="shared" si="2"/>
        <v>0</v>
      </c>
      <c r="AV21" s="7"/>
    </row>
    <row r="22" spans="1:48" ht="15.75">
      <c r="A22" s="21"/>
      <c r="B22" s="21"/>
      <c r="C22" s="21"/>
      <c r="D22" s="54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</row>
    <row r="23" spans="1:48" ht="15.75">
      <c r="A23" s="51"/>
      <c r="B23" s="51" t="s">
        <v>8</v>
      </c>
      <c r="C23" s="51" t="s">
        <v>67</v>
      </c>
      <c r="D23" s="51" t="s">
        <v>68</v>
      </c>
      <c r="G23" s="68"/>
      <c r="H23" s="68"/>
      <c r="I23" s="68"/>
      <c r="J23" s="68"/>
      <c r="K23" s="68"/>
      <c r="L23" s="68"/>
      <c r="M23" s="68"/>
      <c r="N23" s="68"/>
    </row>
    <row r="24" spans="1:48">
      <c r="A24" s="18">
        <v>1</v>
      </c>
      <c r="B24" s="18" t="s">
        <v>32</v>
      </c>
      <c r="C24" s="18">
        <f>AV3</f>
        <v>675</v>
      </c>
      <c r="D24" s="50">
        <v>1000</v>
      </c>
      <c r="G24" s="68"/>
      <c r="H24" s="68"/>
      <c r="I24" s="68"/>
      <c r="J24" s="68"/>
      <c r="K24" s="68"/>
      <c r="L24" s="68"/>
      <c r="M24" s="68"/>
      <c r="N24" s="68"/>
    </row>
    <row r="25" spans="1:48">
      <c r="A25" s="18">
        <v>2</v>
      </c>
      <c r="B25" s="18" t="s">
        <v>26</v>
      </c>
      <c r="C25" s="18">
        <f t="shared" ref="C25:C41" si="3">AV4</f>
        <v>3350</v>
      </c>
      <c r="D25" s="50">
        <v>1000</v>
      </c>
      <c r="F25" s="68"/>
      <c r="G25" s="69"/>
      <c r="H25" s="69"/>
      <c r="I25" s="69"/>
      <c r="J25" s="69"/>
      <c r="K25" s="69"/>
      <c r="L25" s="69"/>
      <c r="M25" s="69"/>
      <c r="N25" s="69"/>
      <c r="O25" s="68"/>
      <c r="P25" s="68"/>
    </row>
    <row r="26" spans="1:48">
      <c r="A26" s="18">
        <v>3</v>
      </c>
      <c r="B26" s="18" t="s">
        <v>27</v>
      </c>
      <c r="C26" s="18">
        <f t="shared" si="3"/>
        <v>600</v>
      </c>
      <c r="D26" s="50">
        <v>1000</v>
      </c>
      <c r="F26" s="68"/>
      <c r="G26" s="70"/>
      <c r="H26" s="70"/>
      <c r="I26" s="70"/>
      <c r="J26" s="69"/>
      <c r="K26" s="69"/>
      <c r="L26" s="69"/>
      <c r="M26" s="69"/>
      <c r="N26" s="69"/>
      <c r="O26" s="68"/>
      <c r="P26" s="68"/>
    </row>
    <row r="27" spans="1:48">
      <c r="A27" s="18">
        <v>4</v>
      </c>
      <c r="B27" s="18" t="s">
        <v>28</v>
      </c>
      <c r="C27" s="18">
        <f t="shared" si="3"/>
        <v>2150</v>
      </c>
      <c r="D27" s="50">
        <v>1500</v>
      </c>
      <c r="F27" s="68"/>
      <c r="G27" s="70"/>
      <c r="H27" s="70"/>
      <c r="I27" s="70"/>
      <c r="J27" s="70"/>
      <c r="K27" s="70"/>
      <c r="L27" s="70"/>
      <c r="M27" s="70"/>
      <c r="N27" s="70"/>
      <c r="O27" s="68"/>
      <c r="P27" s="68"/>
    </row>
    <row r="28" spans="1:48">
      <c r="A28" s="18">
        <v>5</v>
      </c>
      <c r="B28" s="18" t="s">
        <v>29</v>
      </c>
      <c r="C28" s="18">
        <f t="shared" si="3"/>
        <v>225</v>
      </c>
      <c r="D28" s="50">
        <v>500</v>
      </c>
      <c r="F28" s="68"/>
      <c r="G28" s="70"/>
      <c r="H28" s="70"/>
      <c r="I28" s="70"/>
      <c r="J28" s="70"/>
      <c r="K28" s="70"/>
      <c r="L28" s="70"/>
      <c r="M28" s="70"/>
      <c r="N28" s="71"/>
      <c r="O28" s="68"/>
      <c r="P28" s="68"/>
    </row>
    <row r="29" spans="1:48">
      <c r="A29" s="18">
        <v>6</v>
      </c>
      <c r="B29" s="18" t="s">
        <v>30</v>
      </c>
      <c r="C29" s="18">
        <f t="shared" si="3"/>
        <v>0</v>
      </c>
      <c r="D29" s="50">
        <v>500</v>
      </c>
      <c r="F29" s="68"/>
      <c r="G29" s="70"/>
      <c r="H29" s="70"/>
      <c r="I29" s="70"/>
      <c r="J29" s="71"/>
      <c r="K29" s="71"/>
      <c r="L29" s="71"/>
      <c r="M29" s="71"/>
      <c r="N29" s="71"/>
      <c r="O29" s="68"/>
      <c r="P29" s="68"/>
    </row>
    <row r="30" spans="1:48">
      <c r="A30" s="18">
        <v>7</v>
      </c>
      <c r="B30" s="18" t="s">
        <v>166</v>
      </c>
      <c r="C30" s="18">
        <f t="shared" si="3"/>
        <v>1000</v>
      </c>
      <c r="D30" s="50">
        <v>500</v>
      </c>
      <c r="F30" s="68"/>
      <c r="G30" s="70"/>
      <c r="H30" s="70"/>
      <c r="I30" s="70"/>
      <c r="J30" s="71"/>
      <c r="K30" s="71"/>
      <c r="L30" s="71"/>
      <c r="M30" s="71"/>
      <c r="N30" s="71"/>
      <c r="O30" s="68"/>
      <c r="P30" s="68"/>
    </row>
    <row r="31" spans="1:48">
      <c r="A31" s="18">
        <v>8</v>
      </c>
      <c r="B31" s="18" t="s">
        <v>31</v>
      </c>
      <c r="C31" s="18">
        <f t="shared" si="3"/>
        <v>825</v>
      </c>
      <c r="D31" s="50">
        <v>200</v>
      </c>
      <c r="F31" s="68"/>
      <c r="G31" s="70"/>
      <c r="H31" s="70"/>
      <c r="I31" s="70"/>
      <c r="J31" s="69"/>
      <c r="K31" s="69"/>
      <c r="L31" s="69"/>
      <c r="M31" s="69"/>
      <c r="N31" s="69"/>
      <c r="O31" s="68"/>
      <c r="P31" s="68"/>
    </row>
    <row r="32" spans="1:48">
      <c r="A32" s="18">
        <v>9</v>
      </c>
      <c r="B32" s="18" t="s">
        <v>33</v>
      </c>
      <c r="C32" s="18">
        <f t="shared" si="3"/>
        <v>4000</v>
      </c>
      <c r="D32" s="50">
        <v>500</v>
      </c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</row>
    <row r="33" spans="1:14">
      <c r="A33" s="18">
        <v>10</v>
      </c>
      <c r="B33" s="18" t="s">
        <v>34</v>
      </c>
      <c r="C33" s="18">
        <f t="shared" si="3"/>
        <v>975</v>
      </c>
      <c r="D33" s="50">
        <v>1000</v>
      </c>
      <c r="G33" s="68"/>
      <c r="H33" s="68"/>
      <c r="I33" s="68"/>
      <c r="J33" s="68"/>
      <c r="K33" s="68"/>
      <c r="L33" s="68"/>
      <c r="M33" s="68"/>
      <c r="N33" s="68"/>
    </row>
    <row r="34" spans="1:14">
      <c r="A34" s="18">
        <v>11</v>
      </c>
      <c r="B34" s="18" t="s">
        <v>74</v>
      </c>
      <c r="C34" s="18">
        <f t="shared" si="3"/>
        <v>0</v>
      </c>
      <c r="D34" s="50">
        <v>1000</v>
      </c>
      <c r="G34" s="68"/>
      <c r="H34" s="68"/>
      <c r="I34" s="68"/>
      <c r="J34" s="68"/>
      <c r="K34" s="68"/>
      <c r="L34" s="68"/>
      <c r="M34" s="68"/>
      <c r="N34" s="68"/>
    </row>
    <row r="35" spans="1:14">
      <c r="A35" s="18">
        <v>12</v>
      </c>
      <c r="B35" s="18" t="s">
        <v>35</v>
      </c>
      <c r="C35" s="18">
        <f t="shared" si="3"/>
        <v>2400</v>
      </c>
      <c r="D35" s="50">
        <v>1000</v>
      </c>
      <c r="G35" s="68"/>
      <c r="H35" s="68"/>
      <c r="I35" s="68"/>
      <c r="J35" s="68"/>
      <c r="K35" s="68"/>
      <c r="L35" s="68"/>
      <c r="M35" s="68"/>
      <c r="N35" s="68"/>
    </row>
    <row r="36" spans="1:14">
      <c r="A36" s="18">
        <v>13</v>
      </c>
      <c r="B36" s="18" t="s">
        <v>36</v>
      </c>
      <c r="C36" s="18">
        <f t="shared" si="3"/>
        <v>150</v>
      </c>
      <c r="D36" s="50">
        <v>100</v>
      </c>
    </row>
    <row r="37" spans="1:14">
      <c r="A37" s="18">
        <v>14</v>
      </c>
      <c r="B37" s="18" t="s">
        <v>52</v>
      </c>
      <c r="C37" s="18">
        <f t="shared" si="3"/>
        <v>350</v>
      </c>
      <c r="D37" s="50">
        <v>100</v>
      </c>
    </row>
    <row r="38" spans="1:14">
      <c r="A38" s="18">
        <v>15</v>
      </c>
      <c r="B38" s="18" t="s">
        <v>38</v>
      </c>
      <c r="C38" s="18">
        <f t="shared" si="3"/>
        <v>0</v>
      </c>
      <c r="D38" s="50">
        <v>1500</v>
      </c>
    </row>
    <row r="39" spans="1:14">
      <c r="A39" s="18">
        <v>16</v>
      </c>
      <c r="B39" s="119" t="s">
        <v>151</v>
      </c>
      <c r="C39" s="18">
        <f t="shared" si="3"/>
        <v>4650</v>
      </c>
    </row>
    <row r="40" spans="1:14">
      <c r="A40" s="18">
        <v>17</v>
      </c>
      <c r="B40" s="119" t="s">
        <v>152</v>
      </c>
      <c r="C40" s="18">
        <f t="shared" si="3"/>
        <v>375</v>
      </c>
    </row>
    <row r="41" spans="1:14">
      <c r="A41" s="18">
        <v>18</v>
      </c>
      <c r="B41" s="119" t="s">
        <v>158</v>
      </c>
      <c r="C41" s="18">
        <f t="shared" si="3"/>
        <v>450</v>
      </c>
    </row>
  </sheetData>
  <mergeCells count="2">
    <mergeCell ref="A1:E1"/>
    <mergeCell ref="A21:C21"/>
  </mergeCells>
  <conditionalFormatting sqref="C14:C18 C10:C11 C1:C7">
    <cfRule type="expression" priority="3">
      <formula>C23&lt;B23</formula>
    </cfRule>
  </conditionalFormatting>
  <conditionalFormatting sqref="C12:C13 C8:C9">
    <cfRule type="expression" priority="6">
      <formula>C31&lt;B31</formula>
    </cfRule>
  </conditionalFormatting>
  <conditionalFormatting sqref="C31:C1048560">
    <cfRule type="expression" priority="2">
      <formula>C48&lt;B48</formula>
    </cfRule>
  </conditionalFormatting>
  <conditionalFormatting sqref="C1048565">
    <cfRule type="expression" priority="5">
      <formula>C1&lt;B1</formula>
    </cfRule>
  </conditionalFormatting>
  <conditionalFormatting sqref="C24:C41">
    <cfRule type="expression" dxfId="10" priority="1">
      <formula>$D24&gt;$C24</formula>
    </cfRule>
  </conditionalFormatting>
  <conditionalFormatting sqref="C21">
    <cfRule type="expression" priority="11">
      <formula>C40&lt;B40</formula>
    </cfRule>
  </conditionalFormatting>
  <conditionalFormatting sqref="C19:C20">
    <cfRule type="expression" priority="13">
      <formula>C40&lt;B40</formula>
    </cfRule>
  </conditionalFormatting>
  <conditionalFormatting sqref="C22">
    <cfRule type="expression" priority="17">
      <formula>#REF!&lt;#REF!</formula>
    </cfRule>
  </conditionalFormatting>
  <conditionalFormatting sqref="C1048566:C1048576">
    <cfRule type="expression" priority="20">
      <formula>C1&lt;B1</formula>
    </cfRule>
  </conditionalFormatting>
  <conditionalFormatting sqref="C23:C41">
    <cfRule type="expression" priority="24">
      <formula>C41&lt;B41</formula>
    </cfRule>
  </conditionalFormatting>
  <conditionalFormatting sqref="C1048561:C1048564">
    <cfRule type="expression" priority="25">
      <formula>C1&lt;B1</formula>
    </cfRule>
  </conditionalFormatting>
  <pageMargins left="0.7" right="0.7" top="0.75" bottom="0.75" header="0.3" footer="0.3"/>
  <pageSetup scale="6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4"/>
  <sheetViews>
    <sheetView zoomScaleNormal="100" workbookViewId="0">
      <pane xSplit="5" ySplit="2" topLeftCell="AG6" activePane="bottomRight" state="frozen"/>
      <selection pane="topRight" activeCell="F1" sqref="F1"/>
      <selection pane="bottomLeft" activeCell="A3" sqref="A3"/>
      <selection pane="bottomRight" activeCell="AP3" sqref="AP3:AP22"/>
    </sheetView>
  </sheetViews>
  <sheetFormatPr defaultColWidth="9" defaultRowHeight="15"/>
  <cols>
    <col min="1" max="1" width="9" style="2"/>
    <col min="2" max="2" width="26.28515625" style="2" bestFit="1" customWidth="1"/>
    <col min="3" max="4" width="15" style="2" customWidth="1"/>
    <col min="5" max="5" width="10.85546875" style="2" customWidth="1"/>
    <col min="6" max="12" width="10.42578125" style="2" customWidth="1"/>
    <col min="13" max="13" width="11.140625" style="2" customWidth="1"/>
    <col min="14" max="16" width="10.42578125" style="2" customWidth="1"/>
    <col min="17" max="17" width="11.28515625" style="2" customWidth="1"/>
    <col min="18" max="20" width="10.42578125" style="2" customWidth="1"/>
    <col min="21" max="27" width="10.42578125" customWidth="1"/>
    <col min="28" max="28" width="11.42578125" customWidth="1"/>
    <col min="29" max="41" width="10.42578125" customWidth="1"/>
  </cols>
  <sheetData>
    <row r="1" spans="1:42" ht="31.5" thickBot="1">
      <c r="A1" s="231" t="s">
        <v>7</v>
      </c>
      <c r="B1" s="231"/>
      <c r="C1" s="231"/>
      <c r="D1" s="231"/>
      <c r="E1" s="231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38"/>
    </row>
    <row r="2" spans="1:42" s="1" customFormat="1" ht="32.25" customHeight="1" thickBot="1">
      <c r="A2" s="5" t="s">
        <v>57</v>
      </c>
      <c r="B2" s="5" t="s">
        <v>56</v>
      </c>
      <c r="C2" s="5" t="s">
        <v>103</v>
      </c>
      <c r="D2" s="5" t="s">
        <v>54</v>
      </c>
      <c r="E2" s="84" t="s">
        <v>145</v>
      </c>
      <c r="F2" s="6">
        <v>45962</v>
      </c>
      <c r="G2" s="6">
        <v>45963</v>
      </c>
      <c r="H2" s="6">
        <v>45964</v>
      </c>
      <c r="I2" s="6">
        <v>45965</v>
      </c>
      <c r="J2" s="6">
        <v>45966</v>
      </c>
      <c r="K2" s="6">
        <v>45967</v>
      </c>
      <c r="L2" s="6">
        <v>45968</v>
      </c>
      <c r="M2" s="118" t="s">
        <v>154</v>
      </c>
      <c r="N2" s="6">
        <v>45969</v>
      </c>
      <c r="O2" s="6">
        <v>45970</v>
      </c>
      <c r="P2" s="6">
        <v>45971</v>
      </c>
      <c r="Q2" s="118" t="s">
        <v>155</v>
      </c>
      <c r="R2" s="6">
        <v>45972</v>
      </c>
      <c r="S2" s="118" t="s">
        <v>157</v>
      </c>
      <c r="T2" s="6">
        <v>45973</v>
      </c>
      <c r="U2" s="6">
        <v>45974</v>
      </c>
      <c r="V2" s="118" t="s">
        <v>159</v>
      </c>
      <c r="W2" s="6">
        <v>45975</v>
      </c>
      <c r="X2" s="6">
        <v>45976</v>
      </c>
      <c r="Y2" s="6">
        <v>45977</v>
      </c>
      <c r="Z2" s="6">
        <v>45978</v>
      </c>
      <c r="AA2" s="6">
        <v>45979</v>
      </c>
      <c r="AB2" s="118" t="s">
        <v>162</v>
      </c>
      <c r="AC2" s="6">
        <v>45980</v>
      </c>
      <c r="AD2" s="6">
        <v>45981</v>
      </c>
      <c r="AE2" s="6">
        <v>45982</v>
      </c>
      <c r="AF2" s="6">
        <v>45983</v>
      </c>
      <c r="AG2" s="6">
        <v>45984</v>
      </c>
      <c r="AH2" s="6">
        <v>45985</v>
      </c>
      <c r="AI2" s="6">
        <v>45986</v>
      </c>
      <c r="AJ2" s="6">
        <v>45987</v>
      </c>
      <c r="AK2" s="118" t="s">
        <v>167</v>
      </c>
      <c r="AL2" s="6">
        <v>45988</v>
      </c>
      <c r="AM2" s="6">
        <v>45989</v>
      </c>
      <c r="AN2" s="6">
        <v>45990</v>
      </c>
      <c r="AO2" s="6">
        <v>45991</v>
      </c>
      <c r="AP2" s="5" t="s">
        <v>5</v>
      </c>
    </row>
    <row r="3" spans="1:42">
      <c r="A3" s="18">
        <v>1</v>
      </c>
      <c r="B3" s="57" t="s">
        <v>84</v>
      </c>
      <c r="C3" s="3" t="s">
        <v>95</v>
      </c>
      <c r="D3" s="3" t="s">
        <v>1</v>
      </c>
      <c r="E3" s="7">
        <v>350</v>
      </c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66"/>
      <c r="U3" s="106"/>
      <c r="V3" s="106"/>
      <c r="W3" s="137"/>
      <c r="X3" s="137"/>
      <c r="Y3" s="137"/>
      <c r="Z3" s="137"/>
      <c r="AA3" s="137"/>
      <c r="AB3" s="107"/>
      <c r="AC3" s="137"/>
      <c r="AD3" s="137"/>
      <c r="AE3" s="137"/>
      <c r="AF3" s="137"/>
      <c r="AG3" s="137"/>
      <c r="AH3" s="137"/>
      <c r="AI3" s="107"/>
      <c r="AJ3" s="107"/>
      <c r="AK3" s="107"/>
      <c r="AL3" s="107"/>
      <c r="AM3" s="107"/>
      <c r="AN3" s="107"/>
      <c r="AO3" s="107"/>
      <c r="AP3" s="7">
        <f>E3-F3-G3-H3-I3-J3-K3-L3+M3-N3-O3-P3+Q3-R3+S3-T3-U3+V3-W3-X3-Y3-Z3-AA3+AB3-AC3-AD3-AE3-AF3-AG3-AH3-AI3-AJ3+AK3-AL3-AM3-AN3-AO3</f>
        <v>350</v>
      </c>
    </row>
    <row r="4" spans="1:42">
      <c r="A4" s="18">
        <v>2</v>
      </c>
      <c r="B4" s="57" t="s">
        <v>97</v>
      </c>
      <c r="C4" s="57" t="s">
        <v>96</v>
      </c>
      <c r="D4" s="3" t="s">
        <v>1</v>
      </c>
      <c r="E4" s="7">
        <v>275</v>
      </c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66"/>
      <c r="U4" s="106"/>
      <c r="V4" s="106"/>
      <c r="W4" s="137"/>
      <c r="X4" s="137"/>
      <c r="Y4" s="137"/>
      <c r="Z4" s="137"/>
      <c r="AA4" s="137"/>
      <c r="AB4" s="107"/>
      <c r="AC4" s="137"/>
      <c r="AD4" s="137"/>
      <c r="AE4" s="137"/>
      <c r="AF4" s="137"/>
      <c r="AG4" s="137"/>
      <c r="AH4" s="137"/>
      <c r="AI4" s="107"/>
      <c r="AJ4" s="107"/>
      <c r="AK4" s="107"/>
      <c r="AL4" s="107"/>
      <c r="AM4" s="107"/>
      <c r="AN4" s="107"/>
      <c r="AO4" s="107"/>
      <c r="AP4" s="7">
        <f t="shared" ref="AP4:AP22" si="0">E4-F4-G4-H4-I4-J4-K4-L4+M4-N4-O4-P4+Q4-R4+S4-T4-U4+V4-W4-X4-Y4-Z4-AA4+AB4-AC4-AD4-AE4-AF4-AG4-AH4-AI4-AJ4+AK4-AL4-AM4-AN4-AO4</f>
        <v>275</v>
      </c>
    </row>
    <row r="5" spans="1:42">
      <c r="A5" s="18">
        <v>3</v>
      </c>
      <c r="B5" s="57" t="s">
        <v>85</v>
      </c>
      <c r="C5" s="57" t="s">
        <v>98</v>
      </c>
      <c r="D5" s="3" t="s">
        <v>1</v>
      </c>
      <c r="E5" s="7">
        <v>550</v>
      </c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66"/>
      <c r="U5" s="106"/>
      <c r="V5" s="106"/>
      <c r="W5" s="137"/>
      <c r="X5" s="137"/>
      <c r="Y5" s="137"/>
      <c r="Z5" s="137"/>
      <c r="AA5" s="137"/>
      <c r="AB5" s="107"/>
      <c r="AC5" s="137"/>
      <c r="AD5" s="137"/>
      <c r="AE5" s="137"/>
      <c r="AF5" s="137"/>
      <c r="AG5" s="137"/>
      <c r="AH5" s="137"/>
      <c r="AI5" s="108"/>
      <c r="AJ5" s="107"/>
      <c r="AK5" s="107"/>
      <c r="AL5" s="107"/>
      <c r="AM5" s="107"/>
      <c r="AN5" s="107"/>
      <c r="AO5" s="107"/>
      <c r="AP5" s="7">
        <f t="shared" si="0"/>
        <v>550</v>
      </c>
    </row>
    <row r="6" spans="1:42">
      <c r="A6" s="18">
        <v>4</v>
      </c>
      <c r="B6" s="57" t="s">
        <v>99</v>
      </c>
      <c r="C6" s="57" t="s">
        <v>95</v>
      </c>
      <c r="D6" s="3" t="s">
        <v>1</v>
      </c>
      <c r="E6" s="7">
        <v>200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66"/>
      <c r="U6" s="106"/>
      <c r="V6" s="106"/>
      <c r="W6" s="137"/>
      <c r="X6" s="137"/>
      <c r="Y6" s="137"/>
      <c r="Z6" s="137">
        <v>25</v>
      </c>
      <c r="AA6" s="137"/>
      <c r="AB6" s="107"/>
      <c r="AC6" s="137">
        <v>25</v>
      </c>
      <c r="AD6" s="137">
        <v>25</v>
      </c>
      <c r="AE6" s="137">
        <v>25</v>
      </c>
      <c r="AF6" s="137">
        <v>50</v>
      </c>
      <c r="AG6" s="137"/>
      <c r="AH6" s="137">
        <v>25</v>
      </c>
      <c r="AI6" s="107">
        <v>25</v>
      </c>
      <c r="AJ6" s="107"/>
      <c r="AK6" s="107"/>
      <c r="AL6" s="107"/>
      <c r="AM6" s="107"/>
      <c r="AN6" s="107"/>
      <c r="AO6" s="107"/>
      <c r="AP6" s="7">
        <f t="shared" si="0"/>
        <v>0</v>
      </c>
    </row>
    <row r="7" spans="1:42">
      <c r="A7" s="18">
        <v>5</v>
      </c>
      <c r="B7" s="57" t="s">
        <v>86</v>
      </c>
      <c r="C7" s="57" t="s">
        <v>100</v>
      </c>
      <c r="D7" s="3" t="s">
        <v>1</v>
      </c>
      <c r="E7" s="7">
        <v>100</v>
      </c>
      <c r="F7" s="106"/>
      <c r="G7" s="106"/>
      <c r="H7" s="106"/>
      <c r="I7" s="106"/>
      <c r="J7" s="106"/>
      <c r="K7" s="106"/>
      <c r="L7" s="106"/>
      <c r="M7" s="106"/>
      <c r="N7" s="66"/>
      <c r="O7" s="106"/>
      <c r="P7" s="106"/>
      <c r="Q7" s="106"/>
      <c r="R7" s="106"/>
      <c r="S7" s="106"/>
      <c r="T7" s="66"/>
      <c r="U7" s="106"/>
      <c r="V7" s="106"/>
      <c r="W7" s="137"/>
      <c r="X7" s="137"/>
      <c r="Y7" s="137"/>
      <c r="Z7" s="137"/>
      <c r="AA7" s="137"/>
      <c r="AB7" s="107"/>
      <c r="AC7" s="137"/>
      <c r="AD7" s="137"/>
      <c r="AE7" s="137"/>
      <c r="AF7" s="137"/>
      <c r="AG7" s="137"/>
      <c r="AH7" s="137"/>
      <c r="AI7" s="107"/>
      <c r="AJ7" s="107"/>
      <c r="AK7" s="107"/>
      <c r="AL7" s="107"/>
      <c r="AM7" s="107"/>
      <c r="AN7" s="107"/>
      <c r="AO7" s="107"/>
      <c r="AP7" s="7">
        <f t="shared" si="0"/>
        <v>100</v>
      </c>
    </row>
    <row r="8" spans="1:42" ht="15.75" thickBot="1">
      <c r="A8" s="18">
        <v>6</v>
      </c>
      <c r="B8" s="57" t="s">
        <v>87</v>
      </c>
      <c r="C8" s="57" t="s">
        <v>101</v>
      </c>
      <c r="D8" s="4" t="s">
        <v>1</v>
      </c>
      <c r="E8" s="7">
        <v>100</v>
      </c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22"/>
      <c r="R8" s="106"/>
      <c r="S8" s="106"/>
      <c r="T8" s="66"/>
      <c r="U8" s="106"/>
      <c r="V8" s="106"/>
      <c r="W8" s="137"/>
      <c r="X8" s="137"/>
      <c r="Y8" s="137"/>
      <c r="Z8" s="137"/>
      <c r="AA8" s="137"/>
      <c r="AB8" s="107"/>
      <c r="AC8" s="137"/>
      <c r="AD8" s="137"/>
      <c r="AE8" s="137"/>
      <c r="AF8" s="137"/>
      <c r="AG8" s="137"/>
      <c r="AH8" s="137"/>
      <c r="AI8" s="107"/>
      <c r="AJ8" s="107"/>
      <c r="AK8" s="107"/>
      <c r="AL8" s="107"/>
      <c r="AM8" s="107"/>
      <c r="AN8" s="107"/>
      <c r="AO8" s="107"/>
      <c r="AP8" s="7">
        <f t="shared" si="0"/>
        <v>100</v>
      </c>
    </row>
    <row r="9" spans="1:42" ht="15.75" thickBot="1">
      <c r="A9" s="18">
        <v>7</v>
      </c>
      <c r="B9" s="57" t="s">
        <v>88</v>
      </c>
      <c r="C9" s="57" t="s">
        <v>96</v>
      </c>
      <c r="D9" s="4" t="s">
        <v>1</v>
      </c>
      <c r="E9" s="7">
        <v>150</v>
      </c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20"/>
      <c r="Q9" s="123">
        <v>250</v>
      </c>
      <c r="R9" s="121">
        <v>25</v>
      </c>
      <c r="S9" s="121"/>
      <c r="T9" s="66"/>
      <c r="U9" s="106"/>
      <c r="V9" s="106"/>
      <c r="W9" s="137"/>
      <c r="X9" s="137"/>
      <c r="Y9" s="137"/>
      <c r="Z9" s="137"/>
      <c r="AA9" s="137"/>
      <c r="AB9" s="107"/>
      <c r="AC9" s="137"/>
      <c r="AD9" s="137">
        <v>25</v>
      </c>
      <c r="AE9" s="137"/>
      <c r="AF9" s="137"/>
      <c r="AG9" s="137"/>
      <c r="AH9" s="137"/>
      <c r="AI9" s="107"/>
      <c r="AJ9" s="107"/>
      <c r="AK9" s="107"/>
      <c r="AL9" s="107"/>
      <c r="AM9" s="107"/>
      <c r="AN9" s="107"/>
      <c r="AO9" s="107"/>
      <c r="AP9" s="7">
        <f t="shared" si="0"/>
        <v>350</v>
      </c>
    </row>
    <row r="10" spans="1:42">
      <c r="A10" s="18">
        <v>8</v>
      </c>
      <c r="B10" s="57" t="s">
        <v>89</v>
      </c>
      <c r="C10" s="57" t="s">
        <v>96</v>
      </c>
      <c r="D10" s="4" t="s">
        <v>1</v>
      </c>
      <c r="E10" s="7">
        <v>100</v>
      </c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25"/>
      <c r="R10" s="106"/>
      <c r="S10" s="106"/>
      <c r="T10" s="66"/>
      <c r="U10" s="106"/>
      <c r="V10" s="106"/>
      <c r="W10" s="137"/>
      <c r="X10" s="137"/>
      <c r="Y10" s="137"/>
      <c r="Z10" s="137"/>
      <c r="AA10" s="137"/>
      <c r="AB10" s="107"/>
      <c r="AC10" s="137"/>
      <c r="AD10" s="137"/>
      <c r="AE10" s="137"/>
      <c r="AF10" s="137"/>
      <c r="AG10" s="137"/>
      <c r="AH10" s="137"/>
      <c r="AI10" s="107"/>
      <c r="AJ10" s="107"/>
      <c r="AK10" s="107"/>
      <c r="AL10" s="107"/>
      <c r="AM10" s="107"/>
      <c r="AN10" s="107"/>
      <c r="AO10" s="107"/>
      <c r="AP10" s="7">
        <f t="shared" si="0"/>
        <v>100</v>
      </c>
    </row>
    <row r="11" spans="1:42">
      <c r="A11" s="18">
        <v>9</v>
      </c>
      <c r="B11" s="59" t="s">
        <v>104</v>
      </c>
      <c r="C11" s="57" t="s">
        <v>96</v>
      </c>
      <c r="D11" s="4" t="s">
        <v>1</v>
      </c>
      <c r="E11" s="7">
        <v>150</v>
      </c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66"/>
      <c r="U11" s="106"/>
      <c r="V11" s="106"/>
      <c r="W11" s="137"/>
      <c r="X11" s="137"/>
      <c r="Y11" s="137"/>
      <c r="Z11" s="137"/>
      <c r="AA11" s="137"/>
      <c r="AB11" s="107"/>
      <c r="AC11" s="137"/>
      <c r="AD11" s="137"/>
      <c r="AE11" s="137"/>
      <c r="AF11" s="137"/>
      <c r="AG11" s="137"/>
      <c r="AH11" s="137"/>
      <c r="AI11" s="107"/>
      <c r="AJ11" s="107"/>
      <c r="AK11" s="107"/>
      <c r="AL11" s="107"/>
      <c r="AM11" s="107"/>
      <c r="AN11" s="107"/>
      <c r="AO11" s="107"/>
      <c r="AP11" s="7">
        <f t="shared" si="0"/>
        <v>150</v>
      </c>
    </row>
    <row r="12" spans="1:42">
      <c r="A12" s="18">
        <v>10</v>
      </c>
      <c r="B12" s="57" t="s">
        <v>91</v>
      </c>
      <c r="C12" s="3" t="s">
        <v>96</v>
      </c>
      <c r="D12" s="3" t="s">
        <v>1</v>
      </c>
      <c r="E12" s="7">
        <v>100</v>
      </c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66"/>
      <c r="U12" s="106"/>
      <c r="V12" s="106"/>
      <c r="W12" s="137"/>
      <c r="X12" s="137"/>
      <c r="Y12" s="137"/>
      <c r="Z12" s="137"/>
      <c r="AA12" s="137"/>
      <c r="AB12" s="107"/>
      <c r="AC12" s="137"/>
      <c r="AD12" s="137"/>
      <c r="AE12" s="137"/>
      <c r="AF12" s="137"/>
      <c r="AG12" s="137"/>
      <c r="AH12" s="137"/>
      <c r="AI12" s="107"/>
      <c r="AJ12" s="107"/>
      <c r="AK12" s="107"/>
      <c r="AL12" s="107"/>
      <c r="AM12" s="107"/>
      <c r="AN12" s="107"/>
      <c r="AO12" s="107"/>
      <c r="AP12" s="7">
        <f t="shared" si="0"/>
        <v>100</v>
      </c>
    </row>
    <row r="13" spans="1:42">
      <c r="A13" s="18">
        <v>11</v>
      </c>
      <c r="B13" s="57" t="s">
        <v>92</v>
      </c>
      <c r="C13" s="57" t="s">
        <v>96</v>
      </c>
      <c r="D13" s="4" t="s">
        <v>1</v>
      </c>
      <c r="E13" s="7">
        <v>175</v>
      </c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66"/>
      <c r="U13" s="106"/>
      <c r="V13" s="106"/>
      <c r="W13" s="137"/>
      <c r="X13" s="137"/>
      <c r="Y13" s="137"/>
      <c r="Z13" s="137"/>
      <c r="AA13" s="137"/>
      <c r="AB13" s="107"/>
      <c r="AC13" s="137"/>
      <c r="AD13" s="137"/>
      <c r="AE13" s="137"/>
      <c r="AF13" s="137"/>
      <c r="AG13" s="137"/>
      <c r="AH13" s="137"/>
      <c r="AI13" s="107"/>
      <c r="AJ13" s="107"/>
      <c r="AK13" s="107"/>
      <c r="AL13" s="107"/>
      <c r="AM13" s="107"/>
      <c r="AN13" s="107"/>
      <c r="AO13" s="107"/>
      <c r="AP13" s="7">
        <f t="shared" si="0"/>
        <v>175</v>
      </c>
    </row>
    <row r="14" spans="1:42">
      <c r="A14" s="18">
        <v>12</v>
      </c>
      <c r="B14" s="3" t="s">
        <v>93</v>
      </c>
      <c r="C14" s="3" t="s">
        <v>96</v>
      </c>
      <c r="D14" s="3" t="s">
        <v>1</v>
      </c>
      <c r="E14" s="7">
        <v>200</v>
      </c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66">
        <v>25</v>
      </c>
      <c r="U14" s="106"/>
      <c r="V14" s="106"/>
      <c r="W14" s="137">
        <v>25</v>
      </c>
      <c r="X14" s="137"/>
      <c r="Y14" s="137"/>
      <c r="Z14" s="137"/>
      <c r="AA14" s="137"/>
      <c r="AB14" s="107"/>
      <c r="AC14" s="137"/>
      <c r="AD14" s="137"/>
      <c r="AE14" s="137"/>
      <c r="AF14" s="137"/>
      <c r="AG14" s="137"/>
      <c r="AH14" s="137"/>
      <c r="AI14" s="107"/>
      <c r="AJ14" s="107"/>
      <c r="AK14" s="107"/>
      <c r="AL14" s="107"/>
      <c r="AM14" s="107"/>
      <c r="AN14" s="107">
        <v>50</v>
      </c>
      <c r="AO14" s="107"/>
      <c r="AP14" s="7">
        <f t="shared" si="0"/>
        <v>100</v>
      </c>
    </row>
    <row r="15" spans="1:42">
      <c r="A15" s="18">
        <v>13</v>
      </c>
      <c r="B15" s="3" t="s">
        <v>111</v>
      </c>
      <c r="C15" s="3" t="s">
        <v>102</v>
      </c>
      <c r="D15" s="3" t="s">
        <v>1</v>
      </c>
      <c r="E15" s="7">
        <v>75</v>
      </c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66"/>
      <c r="U15" s="106"/>
      <c r="V15" s="106"/>
      <c r="W15" s="137"/>
      <c r="X15" s="137"/>
      <c r="Y15" s="137"/>
      <c r="Z15" s="137"/>
      <c r="AA15" s="137"/>
      <c r="AB15" s="107"/>
      <c r="AC15" s="137"/>
      <c r="AD15" s="137"/>
      <c r="AE15" s="137"/>
      <c r="AF15" s="137"/>
      <c r="AG15" s="137"/>
      <c r="AH15" s="137"/>
      <c r="AI15" s="107"/>
      <c r="AJ15" s="107"/>
      <c r="AK15" s="107"/>
      <c r="AL15" s="107"/>
      <c r="AM15" s="107"/>
      <c r="AN15" s="107"/>
      <c r="AO15" s="107"/>
      <c r="AP15" s="7">
        <f t="shared" si="0"/>
        <v>75</v>
      </c>
    </row>
    <row r="16" spans="1:42">
      <c r="A16" s="18">
        <v>14</v>
      </c>
      <c r="B16" s="3" t="s">
        <v>135</v>
      </c>
      <c r="C16" s="3" t="s">
        <v>96</v>
      </c>
      <c r="D16" s="3" t="s">
        <v>1</v>
      </c>
      <c r="E16" s="7">
        <v>50</v>
      </c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7"/>
      <c r="V16" s="107"/>
      <c r="W16" s="137"/>
      <c r="X16" s="137"/>
      <c r="Y16" s="137"/>
      <c r="Z16" s="137"/>
      <c r="AA16" s="137"/>
      <c r="AB16" s="107"/>
      <c r="AC16" s="137"/>
      <c r="AD16" s="137"/>
      <c r="AE16" s="137"/>
      <c r="AF16" s="137"/>
      <c r="AG16" s="137"/>
      <c r="AH16" s="137"/>
      <c r="AI16" s="107"/>
      <c r="AJ16" s="107"/>
      <c r="AK16" s="107"/>
      <c r="AL16" s="107"/>
      <c r="AM16" s="107"/>
      <c r="AN16" s="107"/>
      <c r="AO16" s="107"/>
      <c r="AP16" s="7">
        <f t="shared" si="0"/>
        <v>50</v>
      </c>
    </row>
    <row r="17" spans="1:42">
      <c r="A17" s="18">
        <v>15</v>
      </c>
      <c r="B17" s="3" t="s">
        <v>136</v>
      </c>
      <c r="C17" s="3" t="s">
        <v>96</v>
      </c>
      <c r="D17" s="3" t="s">
        <v>1</v>
      </c>
      <c r="E17" s="7">
        <v>100</v>
      </c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7"/>
      <c r="V17" s="107"/>
      <c r="W17" s="137"/>
      <c r="X17" s="137"/>
      <c r="Y17" s="137"/>
      <c r="Z17" s="137"/>
      <c r="AA17" s="137"/>
      <c r="AB17" s="107"/>
      <c r="AC17" s="137"/>
      <c r="AD17" s="137"/>
      <c r="AE17" s="137"/>
      <c r="AF17" s="137"/>
      <c r="AG17" s="137"/>
      <c r="AH17" s="137"/>
      <c r="AI17" s="107"/>
      <c r="AJ17" s="107"/>
      <c r="AK17" s="107"/>
      <c r="AL17" s="107"/>
      <c r="AM17" s="107"/>
      <c r="AN17" s="107"/>
      <c r="AO17" s="107"/>
      <c r="AP17" s="7">
        <f t="shared" si="0"/>
        <v>100</v>
      </c>
    </row>
    <row r="18" spans="1:42">
      <c r="A18" s="18">
        <v>16</v>
      </c>
      <c r="B18" s="3">
        <v>1544</v>
      </c>
      <c r="C18" s="3" t="s">
        <v>96</v>
      </c>
      <c r="D18" s="3" t="s">
        <v>1</v>
      </c>
      <c r="E18" s="7">
        <v>100</v>
      </c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7"/>
      <c r="V18" s="107"/>
      <c r="W18" s="137"/>
      <c r="X18" s="137"/>
      <c r="Y18" s="137"/>
      <c r="Z18" s="137"/>
      <c r="AA18" s="137"/>
      <c r="AB18" s="107"/>
      <c r="AC18" s="137"/>
      <c r="AD18" s="137"/>
      <c r="AE18" s="137"/>
      <c r="AF18" s="137"/>
      <c r="AG18" s="137"/>
      <c r="AH18" s="137"/>
      <c r="AI18" s="107">
        <v>1</v>
      </c>
      <c r="AJ18" s="107"/>
      <c r="AK18" s="107"/>
      <c r="AL18" s="107"/>
      <c r="AM18" s="107"/>
      <c r="AN18" s="107"/>
      <c r="AO18" s="107"/>
      <c r="AP18" s="7">
        <f t="shared" si="0"/>
        <v>99</v>
      </c>
    </row>
    <row r="19" spans="1:42" ht="15.75" thickBot="1">
      <c r="A19" s="18">
        <v>17</v>
      </c>
      <c r="B19" s="3">
        <v>1423</v>
      </c>
      <c r="C19" s="3" t="s">
        <v>96</v>
      </c>
      <c r="D19" s="3" t="s">
        <v>1</v>
      </c>
      <c r="E19" s="7">
        <v>100</v>
      </c>
      <c r="F19" s="106"/>
      <c r="G19" s="106"/>
      <c r="H19" s="106"/>
      <c r="I19" s="106"/>
      <c r="J19" s="106"/>
      <c r="K19" s="106"/>
      <c r="L19" s="106"/>
      <c r="M19" s="122"/>
      <c r="N19" s="106"/>
      <c r="O19" s="106"/>
      <c r="P19" s="106"/>
      <c r="Q19" s="106"/>
      <c r="R19" s="106"/>
      <c r="S19" s="106"/>
      <c r="T19" s="106"/>
      <c r="U19" s="107"/>
      <c r="V19" s="107"/>
      <c r="W19" s="137"/>
      <c r="X19" s="137"/>
      <c r="Y19" s="137"/>
      <c r="Z19" s="137"/>
      <c r="AA19" s="137"/>
      <c r="AB19" s="107"/>
      <c r="AC19" s="137"/>
      <c r="AD19" s="137"/>
      <c r="AE19" s="137"/>
      <c r="AF19" s="137"/>
      <c r="AG19" s="137"/>
      <c r="AH19" s="137"/>
      <c r="AI19" s="107">
        <v>7</v>
      </c>
      <c r="AJ19" s="107"/>
      <c r="AK19" s="107"/>
      <c r="AL19" s="107"/>
      <c r="AM19" s="107"/>
      <c r="AN19" s="107"/>
      <c r="AO19" s="107"/>
      <c r="AP19" s="7">
        <f t="shared" si="0"/>
        <v>93</v>
      </c>
    </row>
    <row r="20" spans="1:42" ht="15.75" thickBot="1">
      <c r="A20" s="18">
        <v>18</v>
      </c>
      <c r="B20" s="3" t="s">
        <v>146</v>
      </c>
      <c r="C20" s="126" t="s">
        <v>101</v>
      </c>
      <c r="D20" s="3" t="s">
        <v>1</v>
      </c>
      <c r="E20" s="7">
        <v>25</v>
      </c>
      <c r="F20" s="106"/>
      <c r="G20" s="106"/>
      <c r="H20" s="106"/>
      <c r="I20" s="106"/>
      <c r="J20" s="106"/>
      <c r="K20" s="106"/>
      <c r="L20" s="120">
        <v>25</v>
      </c>
      <c r="M20" s="123">
        <v>100</v>
      </c>
      <c r="N20" s="121"/>
      <c r="O20" s="106">
        <v>25</v>
      </c>
      <c r="P20" s="106"/>
      <c r="Q20" s="106"/>
      <c r="R20" s="106"/>
      <c r="S20" s="123">
        <v>50</v>
      </c>
      <c r="T20" s="106">
        <v>25</v>
      </c>
      <c r="U20" s="107"/>
      <c r="V20" s="107"/>
      <c r="W20" s="137">
        <v>25</v>
      </c>
      <c r="X20" s="137"/>
      <c r="Y20" s="137"/>
      <c r="Z20" s="137">
        <v>25</v>
      </c>
      <c r="AA20" s="137">
        <v>25</v>
      </c>
      <c r="AB20" s="123">
        <v>75</v>
      </c>
      <c r="AC20" s="137">
        <v>25</v>
      </c>
      <c r="AD20" s="137"/>
      <c r="AE20" s="137"/>
      <c r="AF20" s="137"/>
      <c r="AG20" s="137"/>
      <c r="AH20" s="137">
        <v>25</v>
      </c>
      <c r="AI20" s="107"/>
      <c r="AJ20" s="107">
        <v>25</v>
      </c>
      <c r="AK20" s="123">
        <v>25</v>
      </c>
      <c r="AL20" s="107">
        <v>25</v>
      </c>
      <c r="AM20" s="107"/>
      <c r="AN20" s="107"/>
      <c r="AO20" s="107"/>
      <c r="AP20" s="7">
        <f t="shared" si="0"/>
        <v>25</v>
      </c>
    </row>
    <row r="21" spans="1:42" ht="15.75" thickBot="1">
      <c r="A21" s="63">
        <v>19</v>
      </c>
      <c r="B21" s="90" t="s">
        <v>147</v>
      </c>
      <c r="C21" s="129" t="s">
        <v>156</v>
      </c>
      <c r="D21" s="90" t="s">
        <v>1</v>
      </c>
      <c r="E21" s="130">
        <v>25</v>
      </c>
      <c r="F21" s="122"/>
      <c r="G21" s="122"/>
      <c r="H21" s="122"/>
      <c r="I21" s="122"/>
      <c r="J21" s="122"/>
      <c r="K21" s="122"/>
      <c r="L21" s="131">
        <v>25</v>
      </c>
      <c r="M21" s="132">
        <v>25</v>
      </c>
      <c r="N21" s="133"/>
      <c r="O21" s="122">
        <v>25</v>
      </c>
      <c r="P21" s="122"/>
      <c r="Q21" s="122"/>
      <c r="R21" s="122"/>
      <c r="S21" s="134">
        <v>25</v>
      </c>
      <c r="T21" s="122"/>
      <c r="U21" s="135"/>
      <c r="V21" s="135"/>
      <c r="W21" s="138"/>
      <c r="X21" s="138">
        <v>25</v>
      </c>
      <c r="Y21" s="138"/>
      <c r="Z21" s="138"/>
      <c r="AA21" s="138"/>
      <c r="AB21" s="123">
        <v>25</v>
      </c>
      <c r="AC21" s="138"/>
      <c r="AD21" s="138"/>
      <c r="AE21" s="138"/>
      <c r="AF21" s="138"/>
      <c r="AG21" s="138"/>
      <c r="AH21" s="138"/>
      <c r="AI21" s="135"/>
      <c r="AJ21" s="135"/>
      <c r="AK21" s="135"/>
      <c r="AL21" s="135"/>
      <c r="AM21" s="135"/>
      <c r="AN21" s="135"/>
      <c r="AO21" s="135"/>
      <c r="AP21" s="7">
        <f t="shared" si="0"/>
        <v>25</v>
      </c>
    </row>
    <row r="22" spans="1:42" ht="15.75" thickBot="1">
      <c r="A22" s="18">
        <v>20</v>
      </c>
      <c r="B22" s="3" t="s">
        <v>160</v>
      </c>
      <c r="C22" s="3"/>
      <c r="D22" s="3" t="s">
        <v>1</v>
      </c>
      <c r="E22" s="7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49"/>
      <c r="V22" s="123">
        <v>25</v>
      </c>
      <c r="W22" s="10"/>
      <c r="X22" s="10"/>
      <c r="Y22" s="10"/>
      <c r="Z22" s="10">
        <v>25</v>
      </c>
      <c r="AA22" s="10"/>
      <c r="AB22" s="49"/>
      <c r="AC22" s="10"/>
      <c r="AD22" s="10"/>
      <c r="AE22" s="10"/>
      <c r="AF22" s="10"/>
      <c r="AG22" s="10"/>
      <c r="AH22" s="10"/>
      <c r="AI22" s="49"/>
      <c r="AJ22" s="49"/>
      <c r="AK22" s="49"/>
      <c r="AL22" s="49"/>
      <c r="AM22" s="49"/>
      <c r="AN22" s="49"/>
      <c r="AO22" s="49"/>
      <c r="AP22" s="7">
        <f t="shared" si="0"/>
        <v>0</v>
      </c>
    </row>
    <row r="24" spans="1:42" ht="30">
      <c r="A24" s="5" t="s">
        <v>57</v>
      </c>
      <c r="B24" s="5" t="s">
        <v>56</v>
      </c>
      <c r="C24" s="5" t="s">
        <v>69</v>
      </c>
      <c r="D24" s="5" t="s">
        <v>68</v>
      </c>
    </row>
    <row r="25" spans="1:42">
      <c r="A25" s="18">
        <v>1</v>
      </c>
      <c r="B25" s="57" t="s">
        <v>84</v>
      </c>
      <c r="C25" s="18">
        <f t="shared" ref="C25:C44" si="1">AP3</f>
        <v>350</v>
      </c>
      <c r="D25" s="50">
        <v>200</v>
      </c>
    </row>
    <row r="26" spans="1:42">
      <c r="A26" s="18">
        <v>2</v>
      </c>
      <c r="B26" s="57" t="s">
        <v>97</v>
      </c>
      <c r="C26" s="18">
        <f t="shared" si="1"/>
        <v>275</v>
      </c>
      <c r="D26" s="50">
        <v>100</v>
      </c>
    </row>
    <row r="27" spans="1:42">
      <c r="A27" s="18">
        <v>3</v>
      </c>
      <c r="B27" s="57" t="s">
        <v>85</v>
      </c>
      <c r="C27" s="18">
        <f t="shared" si="1"/>
        <v>550</v>
      </c>
      <c r="D27" s="50">
        <v>200</v>
      </c>
    </row>
    <row r="28" spans="1:42">
      <c r="A28" s="18">
        <v>4</v>
      </c>
      <c r="B28" s="57" t="s">
        <v>99</v>
      </c>
      <c r="C28" s="18">
        <f t="shared" si="1"/>
        <v>0</v>
      </c>
      <c r="D28" s="50">
        <v>200</v>
      </c>
    </row>
    <row r="29" spans="1:42">
      <c r="A29" s="18">
        <v>5</v>
      </c>
      <c r="B29" s="57" t="s">
        <v>86</v>
      </c>
      <c r="C29" s="18">
        <f t="shared" si="1"/>
        <v>100</v>
      </c>
      <c r="D29" s="50">
        <v>100</v>
      </c>
    </row>
    <row r="30" spans="1:42">
      <c r="A30" s="18">
        <v>6</v>
      </c>
      <c r="B30" s="57" t="s">
        <v>87</v>
      </c>
      <c r="C30" s="18">
        <f t="shared" si="1"/>
        <v>100</v>
      </c>
      <c r="D30" s="50">
        <v>25</v>
      </c>
    </row>
    <row r="31" spans="1:42">
      <c r="A31" s="18">
        <v>7</v>
      </c>
      <c r="B31" s="57" t="s">
        <v>88</v>
      </c>
      <c r="C31" s="18">
        <f t="shared" si="1"/>
        <v>350</v>
      </c>
      <c r="D31" s="50">
        <v>200</v>
      </c>
    </row>
    <row r="32" spans="1:42">
      <c r="A32" s="18">
        <v>8</v>
      </c>
      <c r="B32" s="57" t="s">
        <v>89</v>
      </c>
      <c r="C32" s="18">
        <f t="shared" si="1"/>
        <v>100</v>
      </c>
      <c r="D32" s="50">
        <v>200</v>
      </c>
    </row>
    <row r="33" spans="1:4">
      <c r="A33" s="18">
        <v>9</v>
      </c>
      <c r="B33" s="59" t="s">
        <v>104</v>
      </c>
      <c r="C33" s="18">
        <f t="shared" si="1"/>
        <v>150</v>
      </c>
      <c r="D33" s="50">
        <v>100</v>
      </c>
    </row>
    <row r="34" spans="1:4">
      <c r="A34" s="18">
        <v>10</v>
      </c>
      <c r="B34" s="57" t="s">
        <v>91</v>
      </c>
      <c r="C34" s="18">
        <f t="shared" si="1"/>
        <v>100</v>
      </c>
      <c r="D34" s="50">
        <v>0</v>
      </c>
    </row>
    <row r="35" spans="1:4">
      <c r="A35" s="18">
        <v>11</v>
      </c>
      <c r="B35" s="57" t="s">
        <v>92</v>
      </c>
      <c r="C35" s="18">
        <f t="shared" si="1"/>
        <v>175</v>
      </c>
      <c r="D35" s="50">
        <v>100</v>
      </c>
    </row>
    <row r="36" spans="1:4">
      <c r="A36" s="18">
        <v>12</v>
      </c>
      <c r="B36" s="3" t="s">
        <v>93</v>
      </c>
      <c r="C36" s="18">
        <f t="shared" si="1"/>
        <v>100</v>
      </c>
      <c r="D36" s="50">
        <v>100</v>
      </c>
    </row>
    <row r="37" spans="1:4">
      <c r="A37" s="18">
        <v>13</v>
      </c>
      <c r="B37" s="3" t="s">
        <v>111</v>
      </c>
      <c r="C37" s="18">
        <f t="shared" si="1"/>
        <v>75</v>
      </c>
      <c r="D37" s="50">
        <v>25</v>
      </c>
    </row>
    <row r="38" spans="1:4">
      <c r="A38" s="18">
        <v>14</v>
      </c>
      <c r="B38" s="3" t="s">
        <v>135</v>
      </c>
      <c r="C38" s="18">
        <f t="shared" si="1"/>
        <v>50</v>
      </c>
      <c r="D38" s="50">
        <v>25</v>
      </c>
    </row>
    <row r="39" spans="1:4">
      <c r="A39" s="18">
        <v>15</v>
      </c>
      <c r="B39" s="3" t="s">
        <v>136</v>
      </c>
      <c r="C39" s="18">
        <f t="shared" si="1"/>
        <v>100</v>
      </c>
      <c r="D39" s="50">
        <v>75</v>
      </c>
    </row>
    <row r="40" spans="1:4">
      <c r="A40" s="18">
        <v>16</v>
      </c>
      <c r="B40" s="3">
        <v>1544</v>
      </c>
      <c r="C40" s="18">
        <f t="shared" si="1"/>
        <v>99</v>
      </c>
    </row>
    <row r="41" spans="1:4">
      <c r="A41" s="18">
        <v>17</v>
      </c>
      <c r="B41" s="3">
        <v>1423</v>
      </c>
      <c r="C41" s="18">
        <f t="shared" si="1"/>
        <v>93</v>
      </c>
    </row>
    <row r="42" spans="1:4">
      <c r="A42" s="18">
        <v>18</v>
      </c>
      <c r="B42" s="3" t="s">
        <v>146</v>
      </c>
      <c r="C42" s="18">
        <f t="shared" si="1"/>
        <v>25</v>
      </c>
    </row>
    <row r="43" spans="1:4">
      <c r="A43" s="18">
        <v>19</v>
      </c>
      <c r="B43" s="3" t="s">
        <v>147</v>
      </c>
      <c r="C43" s="18">
        <f t="shared" si="1"/>
        <v>25</v>
      </c>
    </row>
    <row r="44" spans="1:4">
      <c r="A44" s="18">
        <v>20</v>
      </c>
      <c r="B44" s="3" t="s">
        <v>160</v>
      </c>
      <c r="C44" s="18">
        <f t="shared" si="1"/>
        <v>0</v>
      </c>
    </row>
  </sheetData>
  <mergeCells count="1">
    <mergeCell ref="A1:E1"/>
  </mergeCells>
  <conditionalFormatting sqref="C25:C44">
    <cfRule type="expression" dxfId="9" priority="1">
      <formula>$D25&gt;$C25</formula>
    </cfRule>
  </conditionalFormatting>
  <pageMargins left="0.70866141732283472" right="0.70866141732283472" top="0.74803149606299213" bottom="0.74803149606299213" header="0.31496062992125984" footer="0.31496062992125984"/>
  <pageSetup scale="14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8"/>
  <sheetViews>
    <sheetView zoomScaleNormal="100" workbookViewId="0">
      <pane xSplit="5" ySplit="2" topLeftCell="AI3" activePane="bottomRight" state="frozen"/>
      <selection pane="topRight" activeCell="F1" sqref="F1"/>
      <selection pane="bottomLeft" activeCell="A3" sqref="A3"/>
      <selection pane="bottomRight" activeCell="D2" sqref="D2"/>
    </sheetView>
  </sheetViews>
  <sheetFormatPr defaultColWidth="9" defaultRowHeight="15"/>
  <cols>
    <col min="1" max="1" width="9" style="2"/>
    <col min="2" max="2" width="33.5703125" style="2" customWidth="1"/>
    <col min="3" max="3" width="15" style="2" customWidth="1"/>
    <col min="4" max="4" width="17" style="2" bestFit="1" customWidth="1"/>
    <col min="5" max="5" width="9" style="2"/>
    <col min="6" max="6" width="11.140625" style="2" customWidth="1"/>
    <col min="7" max="7" width="10.85546875" style="2" customWidth="1"/>
    <col min="8" max="11" width="10.42578125" style="2" customWidth="1"/>
    <col min="12" max="13" width="11.140625" style="2" customWidth="1"/>
    <col min="14" max="15" width="10.28515625" style="2" customWidth="1"/>
    <col min="16" max="21" width="11.140625" style="2" customWidth="1"/>
    <col min="22" max="22" width="10.28515625" style="2" customWidth="1"/>
    <col min="23" max="29" width="11.140625" style="2" customWidth="1"/>
    <col min="30" max="30" width="10.42578125" style="2" customWidth="1"/>
    <col min="31" max="32" width="11.140625" style="2" customWidth="1"/>
    <col min="33" max="33" width="10.42578125" style="2" customWidth="1"/>
    <col min="34" max="41" width="11.140625" style="2" customWidth="1"/>
    <col min="42" max="42" width="9" style="2"/>
  </cols>
  <sheetData>
    <row r="1" spans="1:42" ht="30.75">
      <c r="A1" s="231" t="s">
        <v>66</v>
      </c>
      <c r="B1" s="231"/>
      <c r="C1" s="231"/>
      <c r="D1" s="231"/>
      <c r="E1" s="231"/>
      <c r="F1" s="38"/>
      <c r="G1" s="38"/>
      <c r="H1" s="38"/>
      <c r="I1" s="38"/>
      <c r="J1" s="117"/>
      <c r="K1" s="117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139"/>
    </row>
    <row r="2" spans="1:42" s="1" customFormat="1" ht="32.25" customHeight="1" thickBot="1">
      <c r="A2" s="5" t="s">
        <v>57</v>
      </c>
      <c r="B2" s="5" t="s">
        <v>56</v>
      </c>
      <c r="C2" s="5" t="s">
        <v>55</v>
      </c>
      <c r="D2" s="5" t="s">
        <v>54</v>
      </c>
      <c r="E2" s="84" t="s">
        <v>168</v>
      </c>
      <c r="F2" s="105">
        <v>45992</v>
      </c>
      <c r="G2" s="109" t="s">
        <v>169</v>
      </c>
      <c r="H2" s="105">
        <v>45993</v>
      </c>
      <c r="I2" s="105">
        <v>45994</v>
      </c>
      <c r="J2" s="109" t="s">
        <v>170</v>
      </c>
      <c r="K2" s="105">
        <v>45995</v>
      </c>
      <c r="L2" s="105">
        <v>45996</v>
      </c>
      <c r="M2" s="105">
        <v>45997</v>
      </c>
      <c r="N2" s="109" t="s">
        <v>173</v>
      </c>
      <c r="O2" s="105">
        <v>45999</v>
      </c>
      <c r="P2" s="105">
        <v>46000</v>
      </c>
      <c r="Q2" s="109" t="s">
        <v>174</v>
      </c>
      <c r="R2" s="105">
        <v>46001</v>
      </c>
      <c r="S2" s="105">
        <v>46002</v>
      </c>
      <c r="T2" s="109" t="s">
        <v>175</v>
      </c>
      <c r="U2" s="105">
        <v>46003</v>
      </c>
      <c r="V2" s="105">
        <v>46004</v>
      </c>
      <c r="W2" s="105">
        <v>46006</v>
      </c>
      <c r="X2" s="105">
        <v>46007</v>
      </c>
      <c r="Y2" s="105">
        <v>46008</v>
      </c>
      <c r="Z2" s="109" t="s">
        <v>177</v>
      </c>
      <c r="AA2" s="105">
        <v>46009</v>
      </c>
      <c r="AB2" s="105">
        <v>46010</v>
      </c>
      <c r="AC2" s="105">
        <v>46011</v>
      </c>
      <c r="AD2" s="109" t="s">
        <v>178</v>
      </c>
      <c r="AE2" s="105">
        <v>46013</v>
      </c>
      <c r="AF2" s="105">
        <v>46014</v>
      </c>
      <c r="AG2" s="105">
        <v>46015</v>
      </c>
      <c r="AH2" s="105">
        <v>46016</v>
      </c>
      <c r="AI2" s="109" t="s">
        <v>180</v>
      </c>
      <c r="AJ2" s="105">
        <v>46017</v>
      </c>
      <c r="AK2" s="105">
        <v>46018</v>
      </c>
      <c r="AL2" s="105">
        <v>46019</v>
      </c>
      <c r="AM2" s="105">
        <v>46020</v>
      </c>
      <c r="AN2" s="105">
        <v>46021</v>
      </c>
      <c r="AO2" s="105">
        <v>46022</v>
      </c>
      <c r="AP2" s="5" t="s">
        <v>5</v>
      </c>
    </row>
    <row r="3" spans="1:42" ht="15.75" thickBot="1">
      <c r="A3" s="18">
        <v>1</v>
      </c>
      <c r="B3" s="18" t="s">
        <v>32</v>
      </c>
      <c r="C3" s="18" t="s">
        <v>0</v>
      </c>
      <c r="D3" s="18" t="s">
        <v>1</v>
      </c>
      <c r="E3" s="7">
        <v>500</v>
      </c>
      <c r="F3" s="83"/>
      <c r="G3" s="83"/>
      <c r="H3" s="83"/>
      <c r="I3" s="83"/>
      <c r="J3" s="65">
        <v>2500</v>
      </c>
      <c r="K3" s="83"/>
      <c r="L3" s="83">
        <v>700</v>
      </c>
      <c r="M3" s="83">
        <v>150</v>
      </c>
      <c r="N3" s="83"/>
      <c r="O3" s="83">
        <v>550</v>
      </c>
      <c r="P3" s="83">
        <v>500</v>
      </c>
      <c r="Q3" s="83"/>
      <c r="R3" s="103">
        <v>300</v>
      </c>
      <c r="S3" s="103"/>
      <c r="T3" s="103"/>
      <c r="U3" s="83"/>
      <c r="V3" s="83"/>
      <c r="W3" s="83"/>
      <c r="X3" s="66"/>
      <c r="Y3" s="83"/>
      <c r="Z3" s="83"/>
      <c r="AA3" s="83"/>
      <c r="AB3" s="83"/>
      <c r="AC3" s="83"/>
      <c r="AD3" s="66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7">
        <f>E3-F3+G3-H3-I3+J3-K3-L3-M3+N3-O3-P3+Q3-R3-S3+T3-U3-V3-W3-X3-Y3+Z3-AA3-AB3-AC3+AD3-AE3-AF3-AG3-AH3+AI3-AJ3-AK3-AL3-AM3-AN3-AO3</f>
        <v>800</v>
      </c>
    </row>
    <row r="4" spans="1:42" ht="15.75" thickBot="1">
      <c r="A4" s="18">
        <v>2</v>
      </c>
      <c r="B4" s="18" t="s">
        <v>26</v>
      </c>
      <c r="C4" s="18" t="s">
        <v>0</v>
      </c>
      <c r="D4" s="18" t="s">
        <v>1</v>
      </c>
      <c r="E4" s="7">
        <v>3350</v>
      </c>
      <c r="F4" s="83"/>
      <c r="G4" s="83"/>
      <c r="H4" s="83"/>
      <c r="I4" s="83">
        <v>100</v>
      </c>
      <c r="J4" s="83"/>
      <c r="K4" s="83">
        <v>400</v>
      </c>
      <c r="L4" s="83"/>
      <c r="M4" s="66">
        <v>250</v>
      </c>
      <c r="N4" s="83"/>
      <c r="O4" s="83">
        <v>250</v>
      </c>
      <c r="P4" s="83"/>
      <c r="Q4" s="83"/>
      <c r="R4" s="83"/>
      <c r="S4" s="83">
        <v>175</v>
      </c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66"/>
      <c r="AH4" s="83">
        <v>250</v>
      </c>
      <c r="AI4" s="83"/>
      <c r="AJ4" s="83">
        <v>275</v>
      </c>
      <c r="AK4" s="83"/>
      <c r="AL4" s="83"/>
      <c r="AM4" s="83"/>
      <c r="AN4" s="83"/>
      <c r="AO4" s="83"/>
      <c r="AP4" s="7">
        <f t="shared" ref="AP4:AP19" si="0">E4-F4+G4-H4-I4+J4-K4-L4-M4+N4-O4-P4+Q4-R4-S4+T4-U4-V4-W4-X4-Y4+Z4-AA4-AB4-AC4+AD4-AE4-AF4-AG4-AH4+AI4-AJ4-AK4-AL4-AM4-AN4-AO4</f>
        <v>1650</v>
      </c>
    </row>
    <row r="5" spans="1:42" ht="15.75" thickBot="1">
      <c r="A5" s="18">
        <v>3</v>
      </c>
      <c r="B5" s="18" t="s">
        <v>27</v>
      </c>
      <c r="C5" s="18" t="s">
        <v>0</v>
      </c>
      <c r="D5" s="18" t="s">
        <v>1</v>
      </c>
      <c r="E5" s="7">
        <v>600</v>
      </c>
      <c r="F5" s="83">
        <v>150</v>
      </c>
      <c r="G5" s="83"/>
      <c r="H5" s="83">
        <v>150</v>
      </c>
      <c r="I5" s="83">
        <v>300</v>
      </c>
      <c r="J5" s="65">
        <v>2500</v>
      </c>
      <c r="K5" s="83"/>
      <c r="L5" s="83"/>
      <c r="M5" s="83"/>
      <c r="N5" s="83"/>
      <c r="O5" s="83"/>
      <c r="P5" s="83"/>
      <c r="Q5" s="83"/>
      <c r="R5" s="83">
        <v>50</v>
      </c>
      <c r="S5" s="83">
        <v>175</v>
      </c>
      <c r="T5" s="83"/>
      <c r="U5" s="83">
        <v>75</v>
      </c>
      <c r="V5" s="83"/>
      <c r="W5" s="83"/>
      <c r="X5" s="66">
        <v>100</v>
      </c>
      <c r="Y5" s="83"/>
      <c r="Z5" s="111"/>
      <c r="AA5" s="83"/>
      <c r="AB5" s="83">
        <v>400</v>
      </c>
      <c r="AC5" s="83">
        <v>200</v>
      </c>
      <c r="AD5" s="83"/>
      <c r="AE5" s="83"/>
      <c r="AF5" s="83"/>
      <c r="AG5" s="83"/>
      <c r="AH5" s="83">
        <v>100</v>
      </c>
      <c r="AI5" s="83"/>
      <c r="AJ5" s="83">
        <v>50</v>
      </c>
      <c r="AK5" s="83">
        <v>200</v>
      </c>
      <c r="AL5" s="83"/>
      <c r="AM5" s="83">
        <v>350</v>
      </c>
      <c r="AN5" s="83">
        <v>300</v>
      </c>
      <c r="AO5" s="83"/>
      <c r="AP5" s="7">
        <f t="shared" si="0"/>
        <v>500</v>
      </c>
    </row>
    <row r="6" spans="1:42" ht="15.75" thickBot="1">
      <c r="A6" s="18">
        <v>4</v>
      </c>
      <c r="B6" s="18" t="s">
        <v>28</v>
      </c>
      <c r="C6" s="18" t="s">
        <v>0</v>
      </c>
      <c r="D6" s="18" t="s">
        <v>1</v>
      </c>
      <c r="E6" s="7">
        <v>2150</v>
      </c>
      <c r="F6" s="83"/>
      <c r="G6" s="83"/>
      <c r="H6" s="83">
        <v>425</v>
      </c>
      <c r="I6" s="83">
        <v>350</v>
      </c>
      <c r="J6" s="83"/>
      <c r="K6" s="83">
        <v>750</v>
      </c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113">
        <v>200</v>
      </c>
      <c r="Z6" s="65">
        <v>2000</v>
      </c>
      <c r="AA6" s="110">
        <v>850</v>
      </c>
      <c r="AB6" s="83"/>
      <c r="AC6" s="83"/>
      <c r="AD6" s="83"/>
      <c r="AE6" s="83"/>
      <c r="AF6" s="83"/>
      <c r="AG6" s="83"/>
      <c r="AH6" s="83">
        <v>150</v>
      </c>
      <c r="AI6" s="83"/>
      <c r="AJ6" s="83">
        <v>125</v>
      </c>
      <c r="AK6" s="83"/>
      <c r="AL6" s="83"/>
      <c r="AM6" s="83"/>
      <c r="AN6" s="83"/>
      <c r="AO6" s="83"/>
      <c r="AP6" s="7">
        <f t="shared" si="0"/>
        <v>1300</v>
      </c>
    </row>
    <row r="7" spans="1:42" ht="15.75" thickBot="1">
      <c r="A7" s="18">
        <v>5</v>
      </c>
      <c r="B7" s="18" t="s">
        <v>106</v>
      </c>
      <c r="C7" s="18" t="s">
        <v>2</v>
      </c>
      <c r="D7" s="18" t="s">
        <v>1</v>
      </c>
      <c r="E7" s="7">
        <v>225</v>
      </c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65">
        <v>500</v>
      </c>
      <c r="U7" s="83">
        <v>100</v>
      </c>
      <c r="V7" s="83">
        <v>100</v>
      </c>
      <c r="W7" s="83"/>
      <c r="X7" s="83"/>
      <c r="Y7" s="83"/>
      <c r="Z7" s="112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>
        <v>150</v>
      </c>
      <c r="AP7" s="7">
        <f t="shared" si="0"/>
        <v>375</v>
      </c>
    </row>
    <row r="8" spans="1:42" ht="15.75" thickBot="1">
      <c r="A8" s="18">
        <v>6</v>
      </c>
      <c r="B8" s="18" t="s">
        <v>30</v>
      </c>
      <c r="C8" s="18" t="s">
        <v>2</v>
      </c>
      <c r="D8" s="18" t="s">
        <v>1</v>
      </c>
      <c r="E8" s="7">
        <v>0</v>
      </c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65">
        <v>3000</v>
      </c>
      <c r="U8" s="83"/>
      <c r="V8" s="83">
        <v>225</v>
      </c>
      <c r="W8" s="83">
        <v>450</v>
      </c>
      <c r="X8" s="83"/>
      <c r="Y8" s="83"/>
      <c r="Z8" s="83"/>
      <c r="AA8" s="83"/>
      <c r="AB8" s="83"/>
      <c r="AC8" s="83"/>
      <c r="AD8" s="83"/>
      <c r="AE8" s="83"/>
      <c r="AF8" s="83"/>
      <c r="AG8" s="83">
        <v>375</v>
      </c>
      <c r="AH8" s="83"/>
      <c r="AI8" s="83"/>
      <c r="AJ8" s="83"/>
      <c r="AK8" s="83"/>
      <c r="AL8" s="83"/>
      <c r="AM8" s="83">
        <v>275</v>
      </c>
      <c r="AN8" s="83">
        <v>225</v>
      </c>
      <c r="AO8" s="83"/>
      <c r="AP8" s="7">
        <f t="shared" si="0"/>
        <v>1450</v>
      </c>
    </row>
    <row r="9" spans="1:42">
      <c r="A9" s="18">
        <v>7</v>
      </c>
      <c r="B9" s="18" t="s">
        <v>166</v>
      </c>
      <c r="C9" s="18" t="s">
        <v>2</v>
      </c>
      <c r="D9" s="18" t="s">
        <v>1</v>
      </c>
      <c r="E9" s="7">
        <v>1000</v>
      </c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7">
        <f t="shared" si="0"/>
        <v>1000</v>
      </c>
    </row>
    <row r="10" spans="1:42" ht="15.75" thickBot="1">
      <c r="A10" s="18">
        <v>8</v>
      </c>
      <c r="B10" s="18" t="s">
        <v>31</v>
      </c>
      <c r="C10" s="18" t="s">
        <v>2</v>
      </c>
      <c r="D10" s="18" t="s">
        <v>1</v>
      </c>
      <c r="E10" s="7">
        <v>825</v>
      </c>
      <c r="F10" s="83"/>
      <c r="G10" s="83"/>
      <c r="H10" s="83"/>
      <c r="I10" s="83"/>
      <c r="J10" s="83"/>
      <c r="K10" s="83"/>
      <c r="L10" s="83"/>
      <c r="M10" s="83"/>
      <c r="N10" s="66"/>
      <c r="O10" s="66"/>
      <c r="P10" s="83"/>
      <c r="Q10" s="83"/>
      <c r="R10" s="83"/>
      <c r="S10" s="83"/>
      <c r="T10" s="83"/>
      <c r="U10" s="83">
        <v>50</v>
      </c>
      <c r="V10" s="83"/>
      <c r="W10" s="83">
        <v>50</v>
      </c>
      <c r="X10" s="83">
        <v>25</v>
      </c>
      <c r="Y10" s="83">
        <v>25</v>
      </c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7">
        <f t="shared" si="0"/>
        <v>675</v>
      </c>
    </row>
    <row r="11" spans="1:42" ht="15.75" thickBot="1">
      <c r="A11" s="18">
        <v>9</v>
      </c>
      <c r="B11" s="18" t="s">
        <v>33</v>
      </c>
      <c r="C11" s="18" t="s">
        <v>2</v>
      </c>
      <c r="D11" s="18" t="s">
        <v>1</v>
      </c>
      <c r="E11" s="7">
        <v>5000</v>
      </c>
      <c r="F11" s="83">
        <v>350</v>
      </c>
      <c r="G11" s="83"/>
      <c r="H11" s="83">
        <v>150</v>
      </c>
      <c r="I11" s="66">
        <v>375</v>
      </c>
      <c r="J11" s="66"/>
      <c r="K11" s="66"/>
      <c r="L11" s="83"/>
      <c r="M11" s="83">
        <v>50</v>
      </c>
      <c r="N11" s="66"/>
      <c r="O11" s="66"/>
      <c r="P11" s="83">
        <v>225</v>
      </c>
      <c r="Q11" s="65">
        <v>1000</v>
      </c>
      <c r="R11" s="83">
        <v>250</v>
      </c>
      <c r="S11" s="83">
        <v>250</v>
      </c>
      <c r="T11" s="83"/>
      <c r="U11" s="83">
        <v>225</v>
      </c>
      <c r="V11" s="83">
        <v>425</v>
      </c>
      <c r="W11" s="83">
        <v>350</v>
      </c>
      <c r="X11" s="83"/>
      <c r="Y11" s="83">
        <v>375</v>
      </c>
      <c r="Z11" s="83"/>
      <c r="AA11" s="83"/>
      <c r="AB11" s="83"/>
      <c r="AC11" s="83">
        <v>600</v>
      </c>
      <c r="AD11" s="83"/>
      <c r="AE11" s="83">
        <v>600</v>
      </c>
      <c r="AF11" s="66">
        <v>500</v>
      </c>
      <c r="AG11" s="83">
        <v>425</v>
      </c>
      <c r="AH11" s="83">
        <v>375</v>
      </c>
      <c r="AI11" s="65">
        <v>5000</v>
      </c>
      <c r="AJ11" s="83">
        <v>275</v>
      </c>
      <c r="AK11" s="83">
        <v>550</v>
      </c>
      <c r="AL11" s="83"/>
      <c r="AM11" s="83">
        <v>800</v>
      </c>
      <c r="AN11" s="83">
        <v>675</v>
      </c>
      <c r="AO11" s="83">
        <v>700</v>
      </c>
      <c r="AP11" s="7">
        <f t="shared" si="0"/>
        <v>2475</v>
      </c>
    </row>
    <row r="12" spans="1:42">
      <c r="A12" s="18">
        <v>10</v>
      </c>
      <c r="B12" s="18" t="s">
        <v>34</v>
      </c>
      <c r="C12" s="18" t="s">
        <v>2</v>
      </c>
      <c r="D12" s="18" t="s">
        <v>1</v>
      </c>
      <c r="E12" s="7">
        <v>975</v>
      </c>
      <c r="F12" s="83"/>
      <c r="G12" s="83"/>
      <c r="H12" s="83"/>
      <c r="I12" s="83"/>
      <c r="J12" s="83"/>
      <c r="K12" s="83">
        <v>325</v>
      </c>
      <c r="L12" s="83">
        <v>375</v>
      </c>
      <c r="M12" s="83">
        <v>275</v>
      </c>
      <c r="N12" s="83"/>
      <c r="O12" s="83"/>
      <c r="P12" s="83"/>
      <c r="Q12" s="83"/>
      <c r="R12" s="83"/>
      <c r="S12" s="83"/>
      <c r="T12" s="83"/>
      <c r="U12" s="83"/>
      <c r="V12" s="66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7">
        <f t="shared" si="0"/>
        <v>0</v>
      </c>
    </row>
    <row r="13" spans="1:42" ht="15.75" thickBot="1">
      <c r="A13" s="18">
        <v>11</v>
      </c>
      <c r="B13" s="18" t="s">
        <v>74</v>
      </c>
      <c r="C13" s="18" t="s">
        <v>2</v>
      </c>
      <c r="D13" s="18" t="s">
        <v>1</v>
      </c>
      <c r="E13" s="7">
        <v>0</v>
      </c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111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7">
        <f t="shared" si="0"/>
        <v>0</v>
      </c>
    </row>
    <row r="14" spans="1:42" ht="15.75" thickBot="1">
      <c r="A14" s="18">
        <v>12</v>
      </c>
      <c r="B14" s="18" t="s">
        <v>35</v>
      </c>
      <c r="C14" s="18" t="s">
        <v>3</v>
      </c>
      <c r="D14" s="18" t="s">
        <v>1</v>
      </c>
      <c r="E14" s="7">
        <v>2400</v>
      </c>
      <c r="F14" s="83">
        <v>350</v>
      </c>
      <c r="G14" s="83"/>
      <c r="H14" s="83">
        <v>100</v>
      </c>
      <c r="I14" s="83">
        <v>250</v>
      </c>
      <c r="J14" s="83"/>
      <c r="K14" s="66"/>
      <c r="L14" s="83">
        <v>500</v>
      </c>
      <c r="M14" s="83">
        <v>500</v>
      </c>
      <c r="N14" s="65">
        <v>5000</v>
      </c>
      <c r="O14" s="66">
        <v>225</v>
      </c>
      <c r="P14" s="83"/>
      <c r="Q14" s="83"/>
      <c r="R14" s="83">
        <v>500</v>
      </c>
      <c r="S14" s="83">
        <v>150</v>
      </c>
      <c r="T14" s="83"/>
      <c r="U14" s="83">
        <v>350</v>
      </c>
      <c r="V14" s="83">
        <v>1025</v>
      </c>
      <c r="W14" s="83">
        <v>525</v>
      </c>
      <c r="X14" s="83">
        <v>600</v>
      </c>
      <c r="Y14" s="113">
        <v>500</v>
      </c>
      <c r="Z14" s="65">
        <v>5000</v>
      </c>
      <c r="AA14" s="110">
        <v>550</v>
      </c>
      <c r="AB14" s="66"/>
      <c r="AC14" s="83"/>
      <c r="AD14" s="136"/>
      <c r="AE14" s="83">
        <v>125</v>
      </c>
      <c r="AF14" s="83">
        <v>250</v>
      </c>
      <c r="AG14" s="83">
        <v>350</v>
      </c>
      <c r="AH14" s="83">
        <v>325</v>
      </c>
      <c r="AI14" s="83"/>
      <c r="AJ14" s="83">
        <v>200</v>
      </c>
      <c r="AK14" s="83"/>
      <c r="AL14" s="83"/>
      <c r="AM14" s="83">
        <v>300</v>
      </c>
      <c r="AN14" s="83">
        <v>300</v>
      </c>
      <c r="AO14" s="83">
        <v>200</v>
      </c>
      <c r="AP14" s="7">
        <f t="shared" si="0"/>
        <v>4225</v>
      </c>
    </row>
    <row r="15" spans="1:42">
      <c r="A15" s="18">
        <v>13</v>
      </c>
      <c r="B15" s="18" t="s">
        <v>36</v>
      </c>
      <c r="C15" s="18" t="s">
        <v>2</v>
      </c>
      <c r="D15" s="18" t="s">
        <v>1</v>
      </c>
      <c r="E15" s="7">
        <v>150</v>
      </c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112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7">
        <f t="shared" si="0"/>
        <v>150</v>
      </c>
    </row>
    <row r="16" spans="1:42">
      <c r="A16" s="18">
        <v>14</v>
      </c>
      <c r="B16" s="18" t="s">
        <v>52</v>
      </c>
      <c r="C16" s="18" t="s">
        <v>37</v>
      </c>
      <c r="D16" s="18" t="s">
        <v>1</v>
      </c>
      <c r="E16" s="7">
        <v>350</v>
      </c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7">
        <f t="shared" si="0"/>
        <v>350</v>
      </c>
    </row>
    <row r="17" spans="1:42">
      <c r="A17" s="18">
        <v>15</v>
      </c>
      <c r="B17" s="18" t="s">
        <v>38</v>
      </c>
      <c r="C17" s="18" t="s">
        <v>6</v>
      </c>
      <c r="D17" s="18" t="s">
        <v>1</v>
      </c>
      <c r="E17" s="7">
        <v>0</v>
      </c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111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7">
        <f t="shared" si="0"/>
        <v>0</v>
      </c>
    </row>
    <row r="18" spans="1:42" ht="15.75" thickBot="1">
      <c r="A18" s="18">
        <v>16</v>
      </c>
      <c r="B18" s="119" t="s">
        <v>158</v>
      </c>
      <c r="C18" s="18" t="s">
        <v>2</v>
      </c>
      <c r="D18" s="18" t="s">
        <v>1</v>
      </c>
      <c r="E18" s="7">
        <v>475</v>
      </c>
      <c r="F18" s="83"/>
      <c r="G18" s="112"/>
      <c r="H18" s="83">
        <v>25</v>
      </c>
      <c r="I18" s="83">
        <v>125</v>
      </c>
      <c r="J18" s="83"/>
      <c r="K18" s="83"/>
      <c r="L18" s="83"/>
      <c r="M18" s="83"/>
      <c r="N18" s="83"/>
      <c r="O18" s="66"/>
      <c r="P18" s="83"/>
      <c r="Q18" s="83"/>
      <c r="R18" s="83"/>
      <c r="S18" s="66">
        <v>25</v>
      </c>
      <c r="T18" s="83"/>
      <c r="U18" s="83"/>
      <c r="V18" s="83">
        <v>100</v>
      </c>
      <c r="W18" s="83">
        <v>50</v>
      </c>
      <c r="X18" s="66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>
        <v>50</v>
      </c>
      <c r="AN18" s="83">
        <v>75</v>
      </c>
      <c r="AO18" s="83">
        <v>25</v>
      </c>
      <c r="AP18" s="7">
        <f t="shared" si="0"/>
        <v>0</v>
      </c>
    </row>
    <row r="19" spans="1:42" ht="15.75" thickBot="1">
      <c r="A19" s="18">
        <v>17</v>
      </c>
      <c r="B19" s="18" t="s">
        <v>179</v>
      </c>
      <c r="C19" s="18"/>
      <c r="D19" s="18" t="s">
        <v>1</v>
      </c>
      <c r="E19" s="7"/>
      <c r="F19" s="112"/>
      <c r="G19" s="112"/>
      <c r="H19" s="112"/>
      <c r="I19" s="112"/>
      <c r="J19" s="112"/>
      <c r="K19" s="112"/>
      <c r="L19" s="112"/>
      <c r="M19" s="112"/>
      <c r="N19" s="112"/>
      <c r="O19" s="146"/>
      <c r="P19" s="112"/>
      <c r="Q19" s="112"/>
      <c r="R19" s="112"/>
      <c r="S19" s="146"/>
      <c r="T19" s="112"/>
      <c r="U19" s="112"/>
      <c r="V19" s="112"/>
      <c r="W19" s="112"/>
      <c r="X19" s="146"/>
      <c r="Y19" s="112"/>
      <c r="Z19" s="112"/>
      <c r="AA19" s="112"/>
      <c r="AB19" s="112"/>
      <c r="AC19" s="112"/>
      <c r="AD19" s="65">
        <v>500</v>
      </c>
      <c r="AE19" s="112">
        <v>125</v>
      </c>
      <c r="AF19" s="112">
        <v>250</v>
      </c>
      <c r="AG19" s="112"/>
      <c r="AH19" s="112"/>
      <c r="AI19" s="112"/>
      <c r="AJ19" s="112"/>
      <c r="AK19" s="112"/>
      <c r="AL19" s="112"/>
      <c r="AM19" s="112"/>
      <c r="AN19" s="112"/>
      <c r="AO19" s="112"/>
      <c r="AP19" s="7">
        <f t="shared" si="0"/>
        <v>125</v>
      </c>
    </row>
    <row r="20" spans="1:42" ht="15.75">
      <c r="A20" s="228"/>
      <c r="B20" s="229"/>
      <c r="C20" s="230"/>
      <c r="D20" s="16" t="s">
        <v>51</v>
      </c>
      <c r="E20" s="15">
        <f>SUM(E3:E18)</f>
        <v>18000</v>
      </c>
      <c r="F20" s="127">
        <f>SUM(F3:F17)</f>
        <v>850</v>
      </c>
      <c r="G20" s="127"/>
      <c r="H20" s="127">
        <f>SUM(H3:H17)</f>
        <v>825</v>
      </c>
      <c r="I20" s="127">
        <f>SUM(I3:I17)</f>
        <v>1375</v>
      </c>
      <c r="J20" s="127"/>
      <c r="K20" s="127">
        <f t="shared" ref="K20:P20" si="1">SUM(K3:K17)</f>
        <v>1475</v>
      </c>
      <c r="L20" s="127">
        <f t="shared" si="1"/>
        <v>1575</v>
      </c>
      <c r="M20" s="127">
        <f t="shared" si="1"/>
        <v>1225</v>
      </c>
      <c r="N20" s="127">
        <f t="shared" si="1"/>
        <v>5000</v>
      </c>
      <c r="O20" s="127">
        <f t="shared" si="1"/>
        <v>1025</v>
      </c>
      <c r="P20" s="127">
        <f t="shared" si="1"/>
        <v>725</v>
      </c>
      <c r="Q20" s="127"/>
      <c r="R20" s="127">
        <f t="shared" ref="R20:W20" si="2">SUM(R3:R17)</f>
        <v>1100</v>
      </c>
      <c r="S20" s="127">
        <f t="shared" si="2"/>
        <v>750</v>
      </c>
      <c r="T20" s="127">
        <f t="shared" si="2"/>
        <v>3500</v>
      </c>
      <c r="U20" s="127">
        <f t="shared" si="2"/>
        <v>800</v>
      </c>
      <c r="V20" s="127">
        <f t="shared" si="2"/>
        <v>1775</v>
      </c>
      <c r="W20" s="127">
        <f t="shared" si="2"/>
        <v>1375</v>
      </c>
      <c r="X20" s="127"/>
      <c r="Y20" s="127">
        <f>SUM(Y3:Y17)</f>
        <v>1100</v>
      </c>
      <c r="Z20" s="127"/>
      <c r="AA20" s="127">
        <f>SUM(AA3:AA17)</f>
        <v>1400</v>
      </c>
      <c r="AB20" s="127"/>
      <c r="AC20" s="127">
        <f>SUM(AC3:AC17)</f>
        <v>800</v>
      </c>
      <c r="AD20" s="127">
        <f>SUM(AD3:AD17)</f>
        <v>0</v>
      </c>
      <c r="AE20" s="127">
        <f>SUM(AE3:AE17)</f>
        <v>725</v>
      </c>
      <c r="AF20" s="127"/>
      <c r="AG20" s="127">
        <f>SUM(AG3:AG17)</f>
        <v>1150</v>
      </c>
      <c r="AH20" s="127">
        <f>SUM(AH3:AH17)</f>
        <v>1200</v>
      </c>
      <c r="AI20" s="127"/>
      <c r="AJ20" s="127"/>
      <c r="AK20" s="127">
        <f>SUM(AK3:AK17)</f>
        <v>750</v>
      </c>
      <c r="AL20" s="127"/>
      <c r="AM20" s="127">
        <f>SUM(AM3:AM17)</f>
        <v>1725</v>
      </c>
      <c r="AN20" s="127"/>
      <c r="AO20" s="127">
        <f>SUM(AO3:AO17)</f>
        <v>1050</v>
      </c>
      <c r="AP20" s="7"/>
    </row>
    <row r="21" spans="1:42" ht="15.75">
      <c r="A21" s="21"/>
      <c r="B21" s="21"/>
      <c r="C21" s="21"/>
      <c r="D21" s="54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</row>
    <row r="22" spans="1:42" ht="15.75">
      <c r="A22" s="51"/>
      <c r="B22" s="51" t="s">
        <v>8</v>
      </c>
      <c r="C22" s="51" t="s">
        <v>67</v>
      </c>
      <c r="D22" s="51" t="s">
        <v>68</v>
      </c>
      <c r="H22" s="68"/>
      <c r="I22" s="68"/>
      <c r="J22" s="68"/>
      <c r="K22" s="68"/>
      <c r="L22" s="68"/>
      <c r="M22" s="68"/>
      <c r="N22" s="68"/>
      <c r="O22" s="68"/>
      <c r="P22" s="68"/>
      <c r="Q22" s="68"/>
    </row>
    <row r="23" spans="1:42">
      <c r="A23" s="18">
        <v>1</v>
      </c>
      <c r="B23" s="18" t="s">
        <v>32</v>
      </c>
      <c r="C23" s="18">
        <f t="shared" ref="C23:C37" si="3">AP3</f>
        <v>800</v>
      </c>
      <c r="D23" s="50">
        <v>1000</v>
      </c>
      <c r="H23" s="68"/>
      <c r="I23" s="68"/>
      <c r="J23" s="68"/>
      <c r="K23" s="68"/>
      <c r="L23" s="68"/>
      <c r="M23" s="68"/>
      <c r="N23" s="68"/>
      <c r="O23" s="68"/>
      <c r="P23" s="68"/>
      <c r="Q23" s="68"/>
    </row>
    <row r="24" spans="1:42">
      <c r="A24" s="18">
        <v>2</v>
      </c>
      <c r="B24" s="18" t="s">
        <v>26</v>
      </c>
      <c r="C24" s="18">
        <f t="shared" si="3"/>
        <v>1650</v>
      </c>
      <c r="D24" s="50">
        <v>1000</v>
      </c>
      <c r="F24" s="68"/>
      <c r="G24" s="68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8"/>
      <c r="S24" s="68"/>
    </row>
    <row r="25" spans="1:42">
      <c r="A25" s="18">
        <v>3</v>
      </c>
      <c r="B25" s="18" t="s">
        <v>27</v>
      </c>
      <c r="C25" s="18">
        <f t="shared" si="3"/>
        <v>500</v>
      </c>
      <c r="D25" s="50">
        <v>1000</v>
      </c>
      <c r="F25" s="68"/>
      <c r="G25" s="68"/>
      <c r="H25" s="70"/>
      <c r="I25" s="70"/>
      <c r="J25" s="70"/>
      <c r="K25" s="70"/>
      <c r="L25" s="69"/>
      <c r="M25" s="69"/>
      <c r="N25" s="69"/>
      <c r="O25" s="69"/>
      <c r="P25" s="69"/>
      <c r="Q25" s="69"/>
      <c r="R25" s="68"/>
      <c r="S25" s="68"/>
    </row>
    <row r="26" spans="1:42">
      <c r="A26" s="18">
        <v>4</v>
      </c>
      <c r="B26" s="18" t="s">
        <v>28</v>
      </c>
      <c r="C26" s="18">
        <f t="shared" si="3"/>
        <v>1300</v>
      </c>
      <c r="D26" s="50">
        <v>1500</v>
      </c>
      <c r="F26" s="68"/>
      <c r="G26" s="68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68"/>
      <c r="S26" s="68"/>
    </row>
    <row r="27" spans="1:42">
      <c r="A27" s="18">
        <v>5</v>
      </c>
      <c r="B27" s="18" t="s">
        <v>29</v>
      </c>
      <c r="C27" s="18">
        <f t="shared" si="3"/>
        <v>375</v>
      </c>
      <c r="D27" s="50">
        <v>500</v>
      </c>
      <c r="F27" s="68"/>
      <c r="G27" s="68"/>
      <c r="H27" s="70"/>
      <c r="I27" s="70"/>
      <c r="J27" s="70"/>
      <c r="K27" s="70"/>
      <c r="L27" s="70"/>
      <c r="M27" s="70"/>
      <c r="N27" s="70"/>
      <c r="O27" s="70"/>
      <c r="P27" s="71"/>
      <c r="Q27" s="71"/>
      <c r="R27" s="68"/>
      <c r="S27" s="68"/>
    </row>
    <row r="28" spans="1:42">
      <c r="A28" s="18">
        <v>6</v>
      </c>
      <c r="B28" s="18" t="s">
        <v>30</v>
      </c>
      <c r="C28" s="18">
        <f t="shared" si="3"/>
        <v>1450</v>
      </c>
      <c r="D28" s="50">
        <v>500</v>
      </c>
      <c r="F28" s="68"/>
      <c r="G28" s="68"/>
      <c r="H28" s="70"/>
      <c r="I28" s="70"/>
      <c r="J28" s="70"/>
      <c r="K28" s="70"/>
      <c r="L28" s="71"/>
      <c r="M28" s="71"/>
      <c r="N28" s="71"/>
      <c r="O28" s="71"/>
      <c r="P28" s="71"/>
      <c r="Q28" s="71"/>
      <c r="R28" s="68"/>
      <c r="S28" s="68"/>
    </row>
    <row r="29" spans="1:42">
      <c r="A29" s="18">
        <v>7</v>
      </c>
      <c r="B29" s="18" t="s">
        <v>166</v>
      </c>
      <c r="C29" s="18">
        <f t="shared" si="3"/>
        <v>1000</v>
      </c>
      <c r="D29" s="50">
        <v>500</v>
      </c>
      <c r="F29" s="68"/>
      <c r="G29" s="68"/>
      <c r="H29" s="70"/>
      <c r="I29" s="70"/>
      <c r="J29" s="70"/>
      <c r="K29" s="70"/>
      <c r="L29" s="71"/>
      <c r="M29" s="71"/>
      <c r="N29" s="71"/>
      <c r="O29" s="71"/>
      <c r="P29" s="71"/>
      <c r="Q29" s="71"/>
      <c r="R29" s="68"/>
      <c r="S29" s="68"/>
    </row>
    <row r="30" spans="1:42">
      <c r="A30" s="18">
        <v>8</v>
      </c>
      <c r="B30" s="18" t="s">
        <v>31</v>
      </c>
      <c r="C30" s="18">
        <f t="shared" si="3"/>
        <v>675</v>
      </c>
      <c r="D30" s="50">
        <v>200</v>
      </c>
      <c r="F30" s="68"/>
      <c r="G30" s="68"/>
      <c r="H30" s="70"/>
      <c r="I30" s="70"/>
      <c r="J30" s="70"/>
      <c r="K30" s="70"/>
      <c r="L30" s="69"/>
      <c r="M30" s="69"/>
      <c r="N30" s="69"/>
      <c r="O30" s="69"/>
      <c r="P30" s="69"/>
      <c r="Q30" s="69"/>
      <c r="R30" s="68"/>
      <c r="S30" s="68"/>
    </row>
    <row r="31" spans="1:42">
      <c r="A31" s="18">
        <v>9</v>
      </c>
      <c r="B31" s="18" t="s">
        <v>33</v>
      </c>
      <c r="C31" s="18">
        <f t="shared" si="3"/>
        <v>2475</v>
      </c>
      <c r="D31" s="50">
        <v>500</v>
      </c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</row>
    <row r="32" spans="1:42">
      <c r="A32" s="18">
        <v>10</v>
      </c>
      <c r="B32" s="18" t="s">
        <v>34</v>
      </c>
      <c r="C32" s="18">
        <f t="shared" si="3"/>
        <v>0</v>
      </c>
      <c r="D32" s="50">
        <v>1000</v>
      </c>
      <c r="H32" s="68"/>
      <c r="I32" s="68"/>
      <c r="J32" s="68"/>
      <c r="K32" s="68"/>
      <c r="L32" s="68"/>
      <c r="M32" s="68"/>
      <c r="N32" s="68"/>
      <c r="O32" s="68"/>
      <c r="P32" s="68"/>
      <c r="Q32" s="68"/>
    </row>
    <row r="33" spans="1:17">
      <c r="A33" s="18">
        <v>11</v>
      </c>
      <c r="B33" s="18" t="s">
        <v>74</v>
      </c>
      <c r="C33" s="18">
        <f t="shared" si="3"/>
        <v>0</v>
      </c>
      <c r="D33" s="50">
        <v>1000</v>
      </c>
      <c r="H33" s="68"/>
      <c r="I33" s="68"/>
      <c r="J33" s="68"/>
      <c r="K33" s="68"/>
      <c r="L33" s="68"/>
      <c r="M33" s="68"/>
      <c r="N33" s="68"/>
      <c r="O33" s="68"/>
      <c r="P33" s="68"/>
      <c r="Q33" s="68"/>
    </row>
    <row r="34" spans="1:17">
      <c r="A34" s="18">
        <v>12</v>
      </c>
      <c r="B34" s="18" t="s">
        <v>35</v>
      </c>
      <c r="C34" s="18">
        <f t="shared" si="3"/>
        <v>4225</v>
      </c>
      <c r="D34" s="50">
        <v>1000</v>
      </c>
      <c r="H34" s="68"/>
      <c r="I34" s="68"/>
      <c r="J34" s="68"/>
      <c r="K34" s="68"/>
      <c r="L34" s="68"/>
      <c r="M34" s="68"/>
      <c r="N34" s="68"/>
      <c r="O34" s="68"/>
      <c r="P34" s="68"/>
      <c r="Q34" s="68"/>
    </row>
    <row r="35" spans="1:17">
      <c r="A35" s="18">
        <v>13</v>
      </c>
      <c r="B35" s="18" t="s">
        <v>36</v>
      </c>
      <c r="C35" s="18">
        <f t="shared" si="3"/>
        <v>150</v>
      </c>
      <c r="D35" s="50">
        <v>100</v>
      </c>
    </row>
    <row r="36" spans="1:17">
      <c r="A36" s="18">
        <v>14</v>
      </c>
      <c r="B36" s="18" t="s">
        <v>52</v>
      </c>
      <c r="C36" s="18">
        <f t="shared" si="3"/>
        <v>350</v>
      </c>
      <c r="D36" s="50">
        <v>100</v>
      </c>
    </row>
    <row r="37" spans="1:17">
      <c r="A37" s="18">
        <v>15</v>
      </c>
      <c r="B37" s="18" t="s">
        <v>38</v>
      </c>
      <c r="C37" s="18">
        <f t="shared" si="3"/>
        <v>0</v>
      </c>
      <c r="D37" s="50">
        <v>1500</v>
      </c>
    </row>
    <row r="38" spans="1:17">
      <c r="A38" s="18">
        <v>16</v>
      </c>
      <c r="B38" s="119" t="s">
        <v>158</v>
      </c>
      <c r="C38" s="18">
        <f t="shared" ref="C38" si="4">AP18</f>
        <v>0</v>
      </c>
    </row>
  </sheetData>
  <mergeCells count="2">
    <mergeCell ref="A1:E1"/>
    <mergeCell ref="A20:C20"/>
  </mergeCells>
  <conditionalFormatting sqref="C10:C11 C1:C7 C14:C16">
    <cfRule type="expression" priority="3">
      <formula>C22&lt;B22</formula>
    </cfRule>
  </conditionalFormatting>
  <conditionalFormatting sqref="C12:C13 C8:C9">
    <cfRule type="expression" priority="5">
      <formula>C30&lt;B30</formula>
    </cfRule>
  </conditionalFormatting>
  <conditionalFormatting sqref="C38:C1048557">
    <cfRule type="expression" priority="2">
      <formula>C55&lt;B55</formula>
    </cfRule>
  </conditionalFormatting>
  <conditionalFormatting sqref="C22:C37">
    <cfRule type="expression" priority="4">
      <formula>C38&lt;B38</formula>
    </cfRule>
  </conditionalFormatting>
  <conditionalFormatting sqref="C23:C38">
    <cfRule type="expression" dxfId="8" priority="1">
      <formula>$D23&gt;$C23</formula>
    </cfRule>
  </conditionalFormatting>
  <conditionalFormatting sqref="C18:C19">
    <cfRule type="expression" priority="6">
      <formula>C38&lt;B38</formula>
    </cfRule>
  </conditionalFormatting>
  <conditionalFormatting sqref="C21">
    <cfRule type="expression" priority="8">
      <formula>#REF!&lt;#REF!</formula>
    </cfRule>
  </conditionalFormatting>
  <conditionalFormatting sqref="C30:C37 C1048562">
    <cfRule type="expression" priority="9">
      <formula>C45&lt;B45</formula>
    </cfRule>
  </conditionalFormatting>
  <conditionalFormatting sqref="C38">
    <cfRule type="expression" priority="10">
      <formula>C56&lt;B56</formula>
    </cfRule>
  </conditionalFormatting>
  <conditionalFormatting sqref="C1048558:C1048561">
    <cfRule type="expression" priority="11">
      <formula>C1&lt;B1</formula>
    </cfRule>
  </conditionalFormatting>
  <conditionalFormatting sqref="C17">
    <cfRule type="expression" priority="27">
      <formula>#REF!&lt;#REF!</formula>
    </cfRule>
  </conditionalFormatting>
  <conditionalFormatting sqref="C20">
    <cfRule type="expression" priority="33">
      <formula>#REF!&lt;#REF!</formula>
    </cfRule>
  </conditionalFormatting>
  <conditionalFormatting sqref="C1048563:C1048576">
    <cfRule type="expression" priority="38">
      <formula>C1&lt;B1</formula>
    </cfRule>
  </conditionalFormatting>
  <pageMargins left="0.7" right="0.7" top="0.75" bottom="0.75" header="0.3" footer="0.3"/>
  <pageSetup scale="6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8"/>
  <sheetViews>
    <sheetView zoomScaleNormal="100" workbookViewId="0">
      <pane xSplit="5" ySplit="2" topLeftCell="AD10" activePane="bottomRight" state="frozen"/>
      <selection pane="topRight" activeCell="F1" sqref="F1"/>
      <selection pane="bottomLeft" activeCell="A3" sqref="A3"/>
      <selection pane="bottomRight" activeCell="AM3" sqref="AM3:AM24"/>
    </sheetView>
  </sheetViews>
  <sheetFormatPr defaultColWidth="9" defaultRowHeight="15"/>
  <cols>
    <col min="1" max="1" width="9" style="2"/>
    <col min="2" max="2" width="26.28515625" style="2" bestFit="1" customWidth="1"/>
    <col min="3" max="4" width="15" style="2" customWidth="1"/>
    <col min="5" max="5" width="10.85546875" style="2" customWidth="1"/>
    <col min="6" max="13" width="10.42578125" style="2" customWidth="1"/>
    <col min="14" max="14" width="11.140625" style="2" customWidth="1"/>
    <col min="15" max="18" width="10.42578125" style="2" customWidth="1"/>
    <col min="19" max="19" width="11.28515625" style="2" customWidth="1"/>
    <col min="20" max="22" width="10.42578125" style="2" customWidth="1"/>
    <col min="23" max="29" width="10.42578125" customWidth="1"/>
    <col min="30" max="30" width="11.42578125" customWidth="1"/>
    <col min="31" max="38" width="10.42578125" customWidth="1"/>
  </cols>
  <sheetData>
    <row r="1" spans="1:39" ht="30.75">
      <c r="A1" s="231" t="s">
        <v>7</v>
      </c>
      <c r="B1" s="231"/>
      <c r="C1" s="231"/>
      <c r="D1" s="231"/>
      <c r="E1" s="231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38"/>
    </row>
    <row r="2" spans="1:39" s="1" customFormat="1" ht="32.25" customHeight="1">
      <c r="A2" s="5" t="s">
        <v>57</v>
      </c>
      <c r="B2" s="5" t="s">
        <v>56</v>
      </c>
      <c r="C2" s="5" t="s">
        <v>103</v>
      </c>
      <c r="D2" s="5" t="s">
        <v>54</v>
      </c>
      <c r="E2" s="84" t="s">
        <v>145</v>
      </c>
      <c r="F2" s="6">
        <v>45992</v>
      </c>
      <c r="G2" s="109" t="s">
        <v>169</v>
      </c>
      <c r="H2" s="6">
        <v>45993</v>
      </c>
      <c r="I2" s="6">
        <v>45994</v>
      </c>
      <c r="J2" s="6">
        <v>45995</v>
      </c>
      <c r="K2" s="6">
        <v>45996</v>
      </c>
      <c r="L2" s="6">
        <v>45997</v>
      </c>
      <c r="M2" s="109" t="s">
        <v>172</v>
      </c>
      <c r="N2" s="6">
        <v>45999</v>
      </c>
      <c r="O2" s="6">
        <v>46000</v>
      </c>
      <c r="P2" s="6">
        <v>46001</v>
      </c>
      <c r="Q2" s="109" t="s">
        <v>174</v>
      </c>
      <c r="R2" s="6">
        <v>46002</v>
      </c>
      <c r="S2" s="6">
        <v>46003</v>
      </c>
      <c r="T2" s="6">
        <v>46004</v>
      </c>
      <c r="U2" s="109" t="s">
        <v>176</v>
      </c>
      <c r="V2" s="6">
        <v>46006</v>
      </c>
      <c r="W2" s="6">
        <v>46007</v>
      </c>
      <c r="X2" s="6">
        <v>46008</v>
      </c>
      <c r="Y2" s="6">
        <v>46009</v>
      </c>
      <c r="Z2" s="6">
        <v>46010</v>
      </c>
      <c r="AA2" s="6">
        <v>46011</v>
      </c>
      <c r="AB2" s="6">
        <v>46012</v>
      </c>
      <c r="AC2" s="6">
        <v>46013</v>
      </c>
      <c r="AD2" s="6">
        <v>46014</v>
      </c>
      <c r="AE2" s="6">
        <v>46015</v>
      </c>
      <c r="AF2" s="6">
        <v>46016</v>
      </c>
      <c r="AG2" s="6">
        <v>46017</v>
      </c>
      <c r="AH2" s="6">
        <v>46018</v>
      </c>
      <c r="AI2" s="109" t="s">
        <v>181</v>
      </c>
      <c r="AJ2" s="6">
        <v>46020</v>
      </c>
      <c r="AK2" s="6">
        <v>46021</v>
      </c>
      <c r="AL2" s="6">
        <v>46022</v>
      </c>
      <c r="AM2" s="5" t="s">
        <v>5</v>
      </c>
    </row>
    <row r="3" spans="1:39">
      <c r="A3" s="18">
        <v>1</v>
      </c>
      <c r="B3" s="57" t="s">
        <v>84</v>
      </c>
      <c r="C3" s="3" t="s">
        <v>95</v>
      </c>
      <c r="D3" s="3" t="s">
        <v>1</v>
      </c>
      <c r="E3" s="7">
        <v>350</v>
      </c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66"/>
      <c r="W3" s="106"/>
      <c r="X3" s="106"/>
      <c r="Y3" s="137"/>
      <c r="Z3" s="137"/>
      <c r="AA3" s="137"/>
      <c r="AB3" s="137"/>
      <c r="AC3" s="137"/>
      <c r="AD3" s="107"/>
      <c r="AE3" s="137"/>
      <c r="AF3" s="137"/>
      <c r="AG3" s="137"/>
      <c r="AH3" s="137"/>
      <c r="AI3" s="137"/>
      <c r="AJ3" s="137"/>
      <c r="AK3" s="107"/>
      <c r="AL3" s="107"/>
      <c r="AM3" s="7">
        <f>E3-F3+G3-H3-I3-J3-K3-L3+M3-N3-O3-P3+Q3-R3-S3-T3+U3-V3-W3-X3-Y3-Z3-AA3-AB3-AC3-AD3-AE3-AF3-AG3-AH3+AI3-AJ3-AK3-AL3</f>
        <v>350</v>
      </c>
    </row>
    <row r="4" spans="1:39">
      <c r="A4" s="18">
        <v>2</v>
      </c>
      <c r="B4" s="57" t="s">
        <v>97</v>
      </c>
      <c r="C4" s="57" t="s">
        <v>96</v>
      </c>
      <c r="D4" s="3" t="s">
        <v>1</v>
      </c>
      <c r="E4" s="7">
        <v>250</v>
      </c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>
        <v>25</v>
      </c>
      <c r="S4" s="106"/>
      <c r="T4" s="106"/>
      <c r="U4" s="106"/>
      <c r="V4" s="66"/>
      <c r="W4" s="106"/>
      <c r="X4" s="106"/>
      <c r="Y4" s="137"/>
      <c r="Z4" s="137"/>
      <c r="AA4" s="137"/>
      <c r="AB4" s="137"/>
      <c r="AC4" s="137"/>
      <c r="AD4" s="107"/>
      <c r="AE4" s="137"/>
      <c r="AF4" s="137"/>
      <c r="AG4" s="137"/>
      <c r="AH4" s="137"/>
      <c r="AI4" s="137"/>
      <c r="AJ4" s="137"/>
      <c r="AK4" s="107"/>
      <c r="AL4" s="107"/>
      <c r="AM4" s="7">
        <f t="shared" ref="AM4:AM24" si="0">E4-F4+G4-H4-I4-J4-K4-L4+M4-N4-O4-P4+Q4-R4-S4-T4+U4-V4-W4-X4-Y4-Z4-AA4-AB4-AC4-AD4-AE4-AF4-AG4-AH4+AI4-AJ4-AK4-AL4</f>
        <v>225</v>
      </c>
    </row>
    <row r="5" spans="1:39" ht="15.75" thickBot="1">
      <c r="A5" s="18">
        <v>3</v>
      </c>
      <c r="B5" s="57" t="s">
        <v>85</v>
      </c>
      <c r="C5" s="57" t="s">
        <v>98</v>
      </c>
      <c r="D5" s="3" t="s">
        <v>1</v>
      </c>
      <c r="E5" s="7">
        <v>500</v>
      </c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66"/>
      <c r="W5" s="106"/>
      <c r="X5" s="106"/>
      <c r="Y5" s="137"/>
      <c r="Z5" s="137"/>
      <c r="AA5" s="137"/>
      <c r="AB5" s="137"/>
      <c r="AC5" s="137"/>
      <c r="AD5" s="107">
        <v>25</v>
      </c>
      <c r="AE5" s="137">
        <v>25</v>
      </c>
      <c r="AF5" s="137"/>
      <c r="AG5" s="137">
        <v>26</v>
      </c>
      <c r="AH5" s="137"/>
      <c r="AI5" s="137"/>
      <c r="AJ5" s="137">
        <v>25</v>
      </c>
      <c r="AK5" s="108"/>
      <c r="AL5" s="107">
        <v>25</v>
      </c>
      <c r="AM5" s="7">
        <f t="shared" si="0"/>
        <v>374</v>
      </c>
    </row>
    <row r="6" spans="1:39" ht="15.75" thickBot="1">
      <c r="A6" s="18">
        <v>4</v>
      </c>
      <c r="B6" s="57" t="s">
        <v>99</v>
      </c>
      <c r="C6" s="57" t="s">
        <v>95</v>
      </c>
      <c r="D6" s="3" t="s">
        <v>1</v>
      </c>
      <c r="E6" s="7">
        <v>500</v>
      </c>
      <c r="F6" s="137">
        <v>25</v>
      </c>
      <c r="G6" s="137"/>
      <c r="H6" s="137"/>
      <c r="I6" s="137"/>
      <c r="J6" s="137"/>
      <c r="K6" s="137">
        <v>25</v>
      </c>
      <c r="L6" s="137"/>
      <c r="M6" s="137"/>
      <c r="N6" s="137"/>
      <c r="O6" s="137"/>
      <c r="P6" s="137">
        <v>25</v>
      </c>
      <c r="Q6" s="137"/>
      <c r="R6" s="137"/>
      <c r="S6" s="137">
        <v>25</v>
      </c>
      <c r="T6" s="137">
        <v>50</v>
      </c>
      <c r="U6" s="137"/>
      <c r="V6" s="108">
        <v>50</v>
      </c>
      <c r="W6" s="137">
        <v>25</v>
      </c>
      <c r="X6" s="137">
        <v>50</v>
      </c>
      <c r="Y6" s="137">
        <v>25</v>
      </c>
      <c r="Z6" s="137"/>
      <c r="AA6" s="137"/>
      <c r="AB6" s="137"/>
      <c r="AC6" s="137"/>
      <c r="AD6" s="137">
        <v>50</v>
      </c>
      <c r="AE6" s="137">
        <v>25</v>
      </c>
      <c r="AF6" s="137"/>
      <c r="AG6" s="137">
        <v>25</v>
      </c>
      <c r="AH6" s="137"/>
      <c r="AI6" s="143">
        <v>500</v>
      </c>
      <c r="AJ6" s="137">
        <v>25</v>
      </c>
      <c r="AK6" s="137"/>
      <c r="AL6" s="137"/>
      <c r="AM6" s="7">
        <f t="shared" si="0"/>
        <v>575</v>
      </c>
    </row>
    <row r="7" spans="1:39">
      <c r="A7" s="18">
        <v>5</v>
      </c>
      <c r="B7" s="57" t="s">
        <v>86</v>
      </c>
      <c r="C7" s="57" t="s">
        <v>100</v>
      </c>
      <c r="D7" s="3" t="s">
        <v>1</v>
      </c>
      <c r="E7" s="7">
        <v>100</v>
      </c>
      <c r="F7" s="137"/>
      <c r="G7" s="137"/>
      <c r="H7" s="137"/>
      <c r="I7" s="137"/>
      <c r="J7" s="137"/>
      <c r="K7" s="137"/>
      <c r="L7" s="137">
        <v>25</v>
      </c>
      <c r="M7" s="137"/>
      <c r="N7" s="137"/>
      <c r="O7" s="108"/>
      <c r="P7" s="137"/>
      <c r="Q7" s="137"/>
      <c r="R7" s="137"/>
      <c r="S7" s="137"/>
      <c r="T7" s="137"/>
      <c r="U7" s="137"/>
      <c r="V7" s="108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  <c r="AK7" s="137"/>
      <c r="AL7" s="137"/>
      <c r="AM7" s="7">
        <f t="shared" si="0"/>
        <v>75</v>
      </c>
    </row>
    <row r="8" spans="1:39">
      <c r="A8" s="18">
        <v>6</v>
      </c>
      <c r="B8" s="57" t="s">
        <v>87</v>
      </c>
      <c r="C8" s="57" t="s">
        <v>101</v>
      </c>
      <c r="D8" s="4" t="s">
        <v>1</v>
      </c>
      <c r="E8" s="7">
        <v>100</v>
      </c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08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7"/>
      <c r="AM8" s="7">
        <f t="shared" si="0"/>
        <v>100</v>
      </c>
    </row>
    <row r="9" spans="1:39">
      <c r="A9" s="18">
        <v>7</v>
      </c>
      <c r="B9" s="57" t="s">
        <v>88</v>
      </c>
      <c r="C9" s="57" t="s">
        <v>96</v>
      </c>
      <c r="D9" s="4" t="s">
        <v>1</v>
      </c>
      <c r="E9" s="7">
        <v>350</v>
      </c>
      <c r="F9" s="137">
        <v>25</v>
      </c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08"/>
      <c r="T9" s="137">
        <v>25</v>
      </c>
      <c r="U9" s="137"/>
      <c r="V9" s="108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>
        <v>25</v>
      </c>
      <c r="AI9" s="137"/>
      <c r="AJ9" s="137"/>
      <c r="AK9" s="137"/>
      <c r="AL9" s="137">
        <v>25</v>
      </c>
      <c r="AM9" s="7">
        <f t="shared" si="0"/>
        <v>250</v>
      </c>
    </row>
    <row r="10" spans="1:39">
      <c r="A10" s="18">
        <v>8</v>
      </c>
      <c r="B10" s="57" t="s">
        <v>89</v>
      </c>
      <c r="C10" s="57" t="s">
        <v>96</v>
      </c>
      <c r="D10" s="4" t="s">
        <v>1</v>
      </c>
      <c r="E10" s="7">
        <v>100</v>
      </c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08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7">
        <f t="shared" si="0"/>
        <v>100</v>
      </c>
    </row>
    <row r="11" spans="1:39">
      <c r="A11" s="18">
        <v>9</v>
      </c>
      <c r="B11" s="59" t="s">
        <v>104</v>
      </c>
      <c r="C11" s="57" t="s">
        <v>96</v>
      </c>
      <c r="D11" s="4" t="s">
        <v>1</v>
      </c>
      <c r="E11" s="7">
        <v>150</v>
      </c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08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  <c r="AK11" s="137"/>
      <c r="AL11" s="137"/>
      <c r="AM11" s="7">
        <f t="shared" si="0"/>
        <v>150</v>
      </c>
    </row>
    <row r="12" spans="1:39">
      <c r="A12" s="18">
        <v>10</v>
      </c>
      <c r="B12" s="57" t="s">
        <v>91</v>
      </c>
      <c r="C12" s="3" t="s">
        <v>96</v>
      </c>
      <c r="D12" s="3" t="s">
        <v>1</v>
      </c>
      <c r="E12" s="7">
        <v>100</v>
      </c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08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  <c r="AM12" s="7">
        <f t="shared" si="0"/>
        <v>100</v>
      </c>
    </row>
    <row r="13" spans="1:39" ht="15.75" thickBot="1">
      <c r="A13" s="18">
        <v>11</v>
      </c>
      <c r="B13" s="57" t="s">
        <v>92</v>
      </c>
      <c r="C13" s="57" t="s">
        <v>96</v>
      </c>
      <c r="D13" s="4" t="s">
        <v>1</v>
      </c>
      <c r="E13" s="7">
        <v>175</v>
      </c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08"/>
      <c r="W13" s="137"/>
      <c r="X13" s="137"/>
      <c r="Y13" s="137"/>
      <c r="Z13" s="137">
        <v>25</v>
      </c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  <c r="AK13" s="137"/>
      <c r="AL13" s="137"/>
      <c r="AM13" s="7">
        <f t="shared" si="0"/>
        <v>150</v>
      </c>
    </row>
    <row r="14" spans="1:39" ht="15.75" thickBot="1">
      <c r="A14" s="18">
        <v>12</v>
      </c>
      <c r="B14" s="3" t="s">
        <v>93</v>
      </c>
      <c r="C14" s="3" t="s">
        <v>96</v>
      </c>
      <c r="D14" s="3" t="s">
        <v>1</v>
      </c>
      <c r="E14" s="7">
        <v>100</v>
      </c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43">
        <v>250</v>
      </c>
      <c r="R14" s="137">
        <v>25</v>
      </c>
      <c r="S14" s="137"/>
      <c r="T14" s="137"/>
      <c r="U14" s="137"/>
      <c r="V14" s="108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/>
      <c r="AJ14" s="137">
        <v>25</v>
      </c>
      <c r="AK14" s="137"/>
      <c r="AL14" s="137"/>
      <c r="AM14" s="7">
        <f t="shared" si="0"/>
        <v>300</v>
      </c>
    </row>
    <row r="15" spans="1:39">
      <c r="A15" s="18">
        <v>13</v>
      </c>
      <c r="B15" s="3" t="s">
        <v>111</v>
      </c>
      <c r="C15" s="3" t="s">
        <v>102</v>
      </c>
      <c r="D15" s="3" t="s">
        <v>1</v>
      </c>
      <c r="E15" s="7">
        <v>75</v>
      </c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08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7">
        <f t="shared" si="0"/>
        <v>75</v>
      </c>
    </row>
    <row r="16" spans="1:39">
      <c r="A16" s="18">
        <v>14</v>
      </c>
      <c r="B16" s="3" t="s">
        <v>135</v>
      </c>
      <c r="C16" s="3" t="s">
        <v>96</v>
      </c>
      <c r="D16" s="3" t="s">
        <v>1</v>
      </c>
      <c r="E16" s="7">
        <v>25</v>
      </c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7">
        <f t="shared" si="0"/>
        <v>25</v>
      </c>
    </row>
    <row r="17" spans="1:39">
      <c r="A17" s="18">
        <v>15</v>
      </c>
      <c r="B17" s="3" t="s">
        <v>136</v>
      </c>
      <c r="C17" s="3" t="s">
        <v>96</v>
      </c>
      <c r="D17" s="3" t="s">
        <v>1</v>
      </c>
      <c r="E17" s="7">
        <v>100</v>
      </c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7">
        <f t="shared" si="0"/>
        <v>100</v>
      </c>
    </row>
    <row r="18" spans="1:39">
      <c r="A18" s="18">
        <v>16</v>
      </c>
      <c r="B18" s="3">
        <v>1544</v>
      </c>
      <c r="C18" s="3" t="s">
        <v>96</v>
      </c>
      <c r="D18" s="3" t="s">
        <v>1</v>
      </c>
      <c r="E18" s="7">
        <v>99</v>
      </c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7">
        <f t="shared" si="0"/>
        <v>99</v>
      </c>
    </row>
    <row r="19" spans="1:39" ht="15.75" thickBot="1">
      <c r="A19" s="18">
        <v>17</v>
      </c>
      <c r="B19" s="3">
        <v>1423</v>
      </c>
      <c r="C19" s="3" t="s">
        <v>96</v>
      </c>
      <c r="D19" s="3" t="s">
        <v>1</v>
      </c>
      <c r="E19" s="7">
        <v>93</v>
      </c>
      <c r="F19" s="137"/>
      <c r="G19" s="138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7">
        <f t="shared" si="0"/>
        <v>93</v>
      </c>
    </row>
    <row r="20" spans="1:39" ht="15.75" thickBot="1">
      <c r="A20" s="18">
        <v>18</v>
      </c>
      <c r="B20" s="3" t="s">
        <v>146</v>
      </c>
      <c r="C20" s="126" t="s">
        <v>101</v>
      </c>
      <c r="D20" s="3" t="s">
        <v>1</v>
      </c>
      <c r="E20" s="7">
        <v>25</v>
      </c>
      <c r="F20" s="140"/>
      <c r="G20" s="143">
        <v>100</v>
      </c>
      <c r="H20" s="141"/>
      <c r="I20" s="137">
        <v>25</v>
      </c>
      <c r="J20" s="137"/>
      <c r="K20" s="137"/>
      <c r="L20" s="137"/>
      <c r="M20" s="137"/>
      <c r="N20" s="108"/>
      <c r="O20" s="137">
        <v>25</v>
      </c>
      <c r="P20" s="137"/>
      <c r="Q20" s="137"/>
      <c r="R20" s="137"/>
      <c r="S20" s="137"/>
      <c r="T20" s="137">
        <v>25</v>
      </c>
      <c r="U20" s="108"/>
      <c r="V20" s="137"/>
      <c r="W20" s="137"/>
      <c r="X20" s="137"/>
      <c r="Y20" s="137"/>
      <c r="Z20" s="137"/>
      <c r="AA20" s="137"/>
      <c r="AB20" s="137"/>
      <c r="AC20" s="137"/>
      <c r="AD20" s="108"/>
      <c r="AE20" s="137"/>
      <c r="AF20" s="137"/>
      <c r="AG20" s="137"/>
      <c r="AH20" s="137"/>
      <c r="AI20" s="137"/>
      <c r="AJ20" s="137"/>
      <c r="AK20" s="137"/>
      <c r="AL20" s="137"/>
      <c r="AM20" s="7">
        <f t="shared" si="0"/>
        <v>50</v>
      </c>
    </row>
    <row r="21" spans="1:39" ht="15.75" thickBot="1">
      <c r="A21" s="63">
        <v>19</v>
      </c>
      <c r="B21" s="90" t="s">
        <v>147</v>
      </c>
      <c r="C21" s="129" t="s">
        <v>156</v>
      </c>
      <c r="D21" s="90" t="s">
        <v>1</v>
      </c>
      <c r="E21" s="130">
        <v>25</v>
      </c>
      <c r="F21" s="137"/>
      <c r="G21" s="142"/>
      <c r="H21" s="137"/>
      <c r="I21" s="137"/>
      <c r="J21" s="137"/>
      <c r="K21" s="137"/>
      <c r="L21" s="137"/>
      <c r="M21" s="137"/>
      <c r="N21" s="108"/>
      <c r="O21" s="137"/>
      <c r="P21" s="137"/>
      <c r="Q21" s="137"/>
      <c r="R21" s="137"/>
      <c r="S21" s="137"/>
      <c r="T21" s="137"/>
      <c r="U21" s="108"/>
      <c r="V21" s="137"/>
      <c r="W21" s="137"/>
      <c r="X21" s="137"/>
      <c r="Y21" s="137"/>
      <c r="Z21" s="137"/>
      <c r="AA21" s="137"/>
      <c r="AB21" s="137"/>
      <c r="AC21" s="137"/>
      <c r="AD21" s="108"/>
      <c r="AE21" s="137"/>
      <c r="AF21" s="137"/>
      <c r="AG21" s="137"/>
      <c r="AH21" s="137"/>
      <c r="AI21" s="137"/>
      <c r="AJ21" s="137"/>
      <c r="AK21" s="137"/>
      <c r="AL21" s="137"/>
      <c r="AM21" s="7">
        <f t="shared" si="0"/>
        <v>25</v>
      </c>
    </row>
    <row r="22" spans="1:39" ht="15.75" thickBot="1">
      <c r="A22" s="63">
        <v>20</v>
      </c>
      <c r="B22" s="90" t="s">
        <v>171</v>
      </c>
      <c r="C22" s="144" t="s">
        <v>96</v>
      </c>
      <c r="D22" s="90" t="s">
        <v>1</v>
      </c>
      <c r="E22" s="130">
        <v>0</v>
      </c>
      <c r="F22" s="137"/>
      <c r="G22" s="142"/>
      <c r="H22" s="137"/>
      <c r="I22" s="137"/>
      <c r="J22" s="137"/>
      <c r="K22" s="137"/>
      <c r="L22" s="137"/>
      <c r="M22" s="143">
        <v>250</v>
      </c>
      <c r="N22" s="108"/>
      <c r="O22" s="137"/>
      <c r="P22" s="137"/>
      <c r="Q22" s="137"/>
      <c r="R22" s="137"/>
      <c r="S22" s="137"/>
      <c r="T22" s="137"/>
      <c r="U22" s="108"/>
      <c r="V22" s="137"/>
      <c r="W22" s="137"/>
      <c r="X22" s="137"/>
      <c r="Y22" s="137"/>
      <c r="Z22" s="137"/>
      <c r="AA22" s="137"/>
      <c r="AB22" s="137"/>
      <c r="AC22" s="137"/>
      <c r="AD22" s="108"/>
      <c r="AE22" s="137"/>
      <c r="AF22" s="137"/>
      <c r="AG22" s="137"/>
      <c r="AH22" s="137"/>
      <c r="AI22" s="137"/>
      <c r="AJ22" s="137"/>
      <c r="AK22" s="137"/>
      <c r="AL22" s="137"/>
      <c r="AM22" s="7">
        <f t="shared" si="0"/>
        <v>250</v>
      </c>
    </row>
    <row r="23" spans="1:39" ht="15.75" thickBot="1">
      <c r="A23" s="18">
        <v>21</v>
      </c>
      <c r="B23" s="3" t="s">
        <v>160</v>
      </c>
      <c r="C23" s="3"/>
      <c r="D23" s="3" t="s">
        <v>1</v>
      </c>
      <c r="E23" s="7">
        <v>0</v>
      </c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08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  <c r="AK23" s="137"/>
      <c r="AL23" s="137"/>
      <c r="AM23" s="7">
        <f t="shared" si="0"/>
        <v>0</v>
      </c>
    </row>
    <row r="24" spans="1:39" ht="15.75" thickBot="1">
      <c r="A24" s="18">
        <v>22</v>
      </c>
      <c r="B24" s="3">
        <v>8801</v>
      </c>
      <c r="C24" s="145" t="s">
        <v>96</v>
      </c>
      <c r="D24" s="3" t="s">
        <v>1</v>
      </c>
      <c r="E24" s="7">
        <v>0</v>
      </c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43">
        <v>25</v>
      </c>
      <c r="V24" s="137">
        <v>25</v>
      </c>
      <c r="W24" s="137"/>
      <c r="X24" s="108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  <c r="AK24" s="137"/>
      <c r="AL24" s="137"/>
      <c r="AM24" s="7">
        <f t="shared" si="0"/>
        <v>0</v>
      </c>
    </row>
    <row r="26" spans="1:39" ht="30">
      <c r="A26" s="5" t="s">
        <v>57</v>
      </c>
      <c r="B26" s="5" t="s">
        <v>56</v>
      </c>
      <c r="C26" s="5" t="s">
        <v>69</v>
      </c>
      <c r="D26" s="5" t="s">
        <v>68</v>
      </c>
    </row>
    <row r="27" spans="1:39">
      <c r="A27" s="18">
        <v>1</v>
      </c>
      <c r="B27" s="57" t="s">
        <v>84</v>
      </c>
      <c r="C27" s="18">
        <f t="shared" ref="C27:C45" si="1">AM3</f>
        <v>350</v>
      </c>
      <c r="D27" s="50">
        <v>200</v>
      </c>
    </row>
    <row r="28" spans="1:39">
      <c r="A28" s="18">
        <v>2</v>
      </c>
      <c r="B28" s="57" t="s">
        <v>97</v>
      </c>
      <c r="C28" s="18">
        <f t="shared" si="1"/>
        <v>225</v>
      </c>
      <c r="D28" s="50">
        <v>100</v>
      </c>
    </row>
    <row r="29" spans="1:39">
      <c r="A29" s="18">
        <v>3</v>
      </c>
      <c r="B29" s="57" t="s">
        <v>85</v>
      </c>
      <c r="C29" s="18">
        <f t="shared" si="1"/>
        <v>374</v>
      </c>
      <c r="D29" s="50">
        <v>200</v>
      </c>
    </row>
    <row r="30" spans="1:39">
      <c r="A30" s="18">
        <v>4</v>
      </c>
      <c r="B30" s="57" t="s">
        <v>99</v>
      </c>
      <c r="C30" s="18">
        <f t="shared" si="1"/>
        <v>575</v>
      </c>
      <c r="D30" s="50">
        <v>200</v>
      </c>
    </row>
    <row r="31" spans="1:39">
      <c r="A31" s="18">
        <v>5</v>
      </c>
      <c r="B31" s="57" t="s">
        <v>86</v>
      </c>
      <c r="C31" s="18">
        <f t="shared" si="1"/>
        <v>75</v>
      </c>
      <c r="D31" s="50">
        <v>100</v>
      </c>
    </row>
    <row r="32" spans="1:39">
      <c r="A32" s="18">
        <v>6</v>
      </c>
      <c r="B32" s="57" t="s">
        <v>87</v>
      </c>
      <c r="C32" s="18">
        <f t="shared" si="1"/>
        <v>100</v>
      </c>
      <c r="D32" s="50">
        <v>25</v>
      </c>
    </row>
    <row r="33" spans="1:4">
      <c r="A33" s="18">
        <v>7</v>
      </c>
      <c r="B33" s="57" t="s">
        <v>88</v>
      </c>
      <c r="C33" s="18">
        <f t="shared" si="1"/>
        <v>250</v>
      </c>
      <c r="D33" s="50">
        <v>200</v>
      </c>
    </row>
    <row r="34" spans="1:4">
      <c r="A34" s="18">
        <v>8</v>
      </c>
      <c r="B34" s="57" t="s">
        <v>89</v>
      </c>
      <c r="C34" s="18">
        <f t="shared" si="1"/>
        <v>100</v>
      </c>
      <c r="D34" s="50">
        <v>200</v>
      </c>
    </row>
    <row r="35" spans="1:4">
      <c r="A35" s="18">
        <v>9</v>
      </c>
      <c r="B35" s="59" t="s">
        <v>104</v>
      </c>
      <c r="C35" s="18">
        <f t="shared" si="1"/>
        <v>150</v>
      </c>
      <c r="D35" s="50">
        <v>100</v>
      </c>
    </row>
    <row r="36" spans="1:4">
      <c r="A36" s="18">
        <v>10</v>
      </c>
      <c r="B36" s="57" t="s">
        <v>91</v>
      </c>
      <c r="C36" s="18">
        <f t="shared" si="1"/>
        <v>100</v>
      </c>
      <c r="D36" s="50">
        <v>0</v>
      </c>
    </row>
    <row r="37" spans="1:4">
      <c r="A37" s="18">
        <v>11</v>
      </c>
      <c r="B37" s="57" t="s">
        <v>92</v>
      </c>
      <c r="C37" s="18">
        <f t="shared" si="1"/>
        <v>150</v>
      </c>
      <c r="D37" s="50">
        <v>100</v>
      </c>
    </row>
    <row r="38" spans="1:4">
      <c r="A38" s="18">
        <v>12</v>
      </c>
      <c r="B38" s="3" t="s">
        <v>93</v>
      </c>
      <c r="C38" s="18">
        <f t="shared" si="1"/>
        <v>300</v>
      </c>
      <c r="D38" s="50">
        <v>100</v>
      </c>
    </row>
    <row r="39" spans="1:4">
      <c r="A39" s="18">
        <v>13</v>
      </c>
      <c r="B39" s="3" t="s">
        <v>111</v>
      </c>
      <c r="C39" s="18">
        <f t="shared" si="1"/>
        <v>75</v>
      </c>
      <c r="D39" s="50">
        <v>25</v>
      </c>
    </row>
    <row r="40" spans="1:4">
      <c r="A40" s="18">
        <v>14</v>
      </c>
      <c r="B40" s="3" t="s">
        <v>135</v>
      </c>
      <c r="C40" s="18">
        <f t="shared" si="1"/>
        <v>25</v>
      </c>
      <c r="D40" s="50">
        <v>25</v>
      </c>
    </row>
    <row r="41" spans="1:4">
      <c r="A41" s="18">
        <v>15</v>
      </c>
      <c r="B41" s="3" t="s">
        <v>136</v>
      </c>
      <c r="C41" s="18">
        <f t="shared" si="1"/>
        <v>100</v>
      </c>
      <c r="D41" s="50">
        <v>75</v>
      </c>
    </row>
    <row r="42" spans="1:4">
      <c r="A42" s="18">
        <v>16</v>
      </c>
      <c r="B42" s="3">
        <v>1544</v>
      </c>
      <c r="C42" s="18">
        <f t="shared" si="1"/>
        <v>99</v>
      </c>
    </row>
    <row r="43" spans="1:4">
      <c r="A43" s="18">
        <v>17</v>
      </c>
      <c r="B43" s="3">
        <v>1423</v>
      </c>
      <c r="C43" s="18">
        <f t="shared" si="1"/>
        <v>93</v>
      </c>
    </row>
    <row r="44" spans="1:4">
      <c r="A44" s="18">
        <v>18</v>
      </c>
      <c r="B44" s="3" t="s">
        <v>146</v>
      </c>
      <c r="C44" s="18">
        <f t="shared" si="1"/>
        <v>50</v>
      </c>
    </row>
    <row r="45" spans="1:4">
      <c r="A45" s="18">
        <v>19</v>
      </c>
      <c r="B45" s="3" t="s">
        <v>147</v>
      </c>
      <c r="C45" s="18">
        <f t="shared" si="1"/>
        <v>25</v>
      </c>
    </row>
    <row r="46" spans="1:4">
      <c r="A46" s="63">
        <v>20</v>
      </c>
      <c r="B46" s="90" t="s">
        <v>171</v>
      </c>
      <c r="C46" s="18">
        <f t="shared" ref="C46:C48" si="2">AM22</f>
        <v>250</v>
      </c>
    </row>
    <row r="47" spans="1:4">
      <c r="A47" s="18">
        <v>21</v>
      </c>
      <c r="B47" s="3" t="s">
        <v>160</v>
      </c>
      <c r="C47" s="18">
        <f t="shared" si="2"/>
        <v>0</v>
      </c>
    </row>
    <row r="48" spans="1:4">
      <c r="A48" s="18">
        <v>22</v>
      </c>
      <c r="B48" s="3">
        <v>8801</v>
      </c>
      <c r="C48" s="18">
        <f t="shared" si="2"/>
        <v>0</v>
      </c>
    </row>
  </sheetData>
  <mergeCells count="1">
    <mergeCell ref="A1:E1"/>
  </mergeCells>
  <conditionalFormatting sqref="C27:C48">
    <cfRule type="expression" dxfId="7" priority="1">
      <formula>$D27&gt;$C27</formula>
    </cfRule>
  </conditionalFormatting>
  <pageMargins left="0.70866141732283472" right="0.70866141732283472" top="0.74803149606299213" bottom="0.74803149606299213" header="0.31496062992125984" footer="0.31496062992125984"/>
  <pageSetup scale="14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9"/>
  <sheetViews>
    <sheetView zoomScaleNormal="100" workbookViewId="0">
      <pane xSplit="5" ySplit="2" topLeftCell="F18" activePane="bottomRight" state="frozen"/>
      <selection pane="topRight" activeCell="F1" sqref="F1"/>
      <selection pane="bottomLeft" activeCell="A3" sqref="A3"/>
      <selection pane="bottomRight" activeCell="A30" sqref="A30"/>
    </sheetView>
  </sheetViews>
  <sheetFormatPr defaultColWidth="9" defaultRowHeight="15"/>
  <cols>
    <col min="1" max="1" width="9" style="2"/>
    <col min="2" max="2" width="33.5703125" style="2" customWidth="1"/>
    <col min="3" max="3" width="15" style="2" customWidth="1"/>
    <col min="4" max="4" width="17" style="2" bestFit="1" customWidth="1"/>
    <col min="5" max="5" width="9" style="2"/>
    <col min="6" max="6" width="11.140625" style="2" customWidth="1"/>
    <col min="7" max="7" width="10.85546875" style="2" customWidth="1"/>
    <col min="8" max="8" width="10.42578125" style="2" bestFit="1" customWidth="1"/>
    <col min="9" max="11" width="10.42578125" style="2" customWidth="1"/>
    <col min="12" max="12" width="11.140625" style="2" customWidth="1"/>
    <col min="13" max="13" width="10.28515625" style="2" customWidth="1"/>
    <col min="14" max="14" width="11.140625" style="2" customWidth="1"/>
    <col min="15" max="16" width="10.28515625" style="2" customWidth="1"/>
    <col min="17" max="23" width="11.140625" style="2" customWidth="1"/>
    <col min="24" max="24" width="10.28515625" style="2" customWidth="1"/>
    <col min="25" max="33" width="11.140625" style="2" customWidth="1"/>
    <col min="34" max="34" width="10.42578125" style="2" customWidth="1"/>
    <col min="35" max="37" width="11.140625" style="2" customWidth="1"/>
    <col min="38" max="38" width="10.42578125" style="2" customWidth="1"/>
    <col min="39" max="43" width="11.140625" style="2" customWidth="1"/>
    <col min="44" max="44" width="9" style="2"/>
  </cols>
  <sheetData>
    <row r="1" spans="1:44" ht="30.75">
      <c r="A1" s="231" t="s">
        <v>66</v>
      </c>
      <c r="B1" s="231"/>
      <c r="C1" s="231"/>
      <c r="D1" s="231"/>
      <c r="E1" s="231"/>
      <c r="F1" s="38"/>
      <c r="G1" s="38"/>
      <c r="H1" s="38"/>
      <c r="I1" s="38"/>
      <c r="J1" s="117"/>
      <c r="K1" s="117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147"/>
    </row>
    <row r="2" spans="1:44" s="1" customFormat="1" ht="32.25" customHeight="1" thickBot="1">
      <c r="A2" s="5" t="s">
        <v>57</v>
      </c>
      <c r="B2" s="5" t="s">
        <v>56</v>
      </c>
      <c r="C2" s="5" t="s">
        <v>55</v>
      </c>
      <c r="D2" s="5" t="s">
        <v>54</v>
      </c>
      <c r="E2" s="84" t="s">
        <v>183</v>
      </c>
      <c r="F2" s="105">
        <v>46023</v>
      </c>
      <c r="G2" s="105">
        <v>46024</v>
      </c>
      <c r="H2" s="105">
        <v>46025</v>
      </c>
      <c r="I2" s="105">
        <v>46026</v>
      </c>
      <c r="J2" s="105">
        <v>46027</v>
      </c>
      <c r="K2" s="105">
        <v>46028</v>
      </c>
      <c r="L2" s="105">
        <v>46029</v>
      </c>
      <c r="M2" s="86" t="s">
        <v>186</v>
      </c>
      <c r="N2" s="105">
        <v>46030</v>
      </c>
      <c r="O2" s="105">
        <v>46031</v>
      </c>
      <c r="P2" s="105">
        <v>46032</v>
      </c>
      <c r="Q2" s="86" t="s">
        <v>188</v>
      </c>
      <c r="R2" s="105">
        <v>46034</v>
      </c>
      <c r="S2" s="105">
        <v>46035</v>
      </c>
      <c r="T2" s="105">
        <v>46036</v>
      </c>
      <c r="U2" s="86" t="s">
        <v>189</v>
      </c>
      <c r="V2" s="105">
        <v>46037</v>
      </c>
      <c r="W2" s="105">
        <v>46038</v>
      </c>
      <c r="X2" s="86" t="s">
        <v>190</v>
      </c>
      <c r="Y2" s="105">
        <v>46039</v>
      </c>
      <c r="Z2" s="86" t="s">
        <v>191</v>
      </c>
      <c r="AA2" s="105">
        <v>46041</v>
      </c>
      <c r="AB2" s="105">
        <v>46042</v>
      </c>
      <c r="AC2" s="86" t="s">
        <v>192</v>
      </c>
      <c r="AD2" s="105">
        <v>46043</v>
      </c>
      <c r="AE2" s="105">
        <v>46044</v>
      </c>
      <c r="AF2" s="105">
        <v>46045</v>
      </c>
      <c r="AG2" s="105">
        <v>46046</v>
      </c>
      <c r="AH2" s="105">
        <v>46047</v>
      </c>
      <c r="AI2" s="105">
        <v>46048</v>
      </c>
      <c r="AJ2" s="105">
        <v>46049</v>
      </c>
      <c r="AK2" s="86" t="s">
        <v>192</v>
      </c>
      <c r="AL2" s="105">
        <v>46050</v>
      </c>
      <c r="AM2" s="105">
        <v>46051</v>
      </c>
      <c r="AN2" s="86" t="s">
        <v>193</v>
      </c>
      <c r="AO2" s="105">
        <v>46052</v>
      </c>
      <c r="AP2" s="86" t="s">
        <v>194</v>
      </c>
      <c r="AQ2" s="105">
        <v>46053</v>
      </c>
      <c r="AR2" s="5" t="s">
        <v>5</v>
      </c>
    </row>
    <row r="3" spans="1:44" ht="15.75" thickBot="1">
      <c r="A3" s="18">
        <v>1</v>
      </c>
      <c r="B3" s="18" t="s">
        <v>32</v>
      </c>
      <c r="C3" s="18" t="s">
        <v>0</v>
      </c>
      <c r="D3" s="18" t="s">
        <v>1</v>
      </c>
      <c r="E3" s="7">
        <v>800</v>
      </c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>
        <v>550</v>
      </c>
      <c r="AH3" s="66"/>
      <c r="AI3" s="66"/>
      <c r="AJ3" s="66">
        <v>250</v>
      </c>
      <c r="AK3" s="65">
        <v>5000</v>
      </c>
      <c r="AL3" s="66">
        <v>1000</v>
      </c>
      <c r="AM3" s="66">
        <v>550</v>
      </c>
      <c r="AN3" s="65">
        <v>5000</v>
      </c>
      <c r="AO3" s="66"/>
      <c r="AP3" s="65">
        <v>5000</v>
      </c>
      <c r="AQ3" s="66"/>
      <c r="AR3" s="7">
        <f>E3-F3-G3-H3-I3-J3-K3-L3+M3-N3-O3-P3+Q3-R3-S3-T3+U3-V3-W3+X3-Y3+Z3-AA3-AB3+AC3-AD3-AE3-AF3-AG3-AH3-AI3-AJ3+AK3-AL3-AM3+AN3-AO3+AP3-AQ3</f>
        <v>13450</v>
      </c>
    </row>
    <row r="4" spans="1:44" ht="15.75" thickBot="1">
      <c r="A4" s="18">
        <v>2</v>
      </c>
      <c r="B4" s="18" t="s">
        <v>26</v>
      </c>
      <c r="C4" s="18" t="s">
        <v>0</v>
      </c>
      <c r="D4" s="18" t="s">
        <v>1</v>
      </c>
      <c r="E4" s="7">
        <v>2075</v>
      </c>
      <c r="F4" s="66"/>
      <c r="G4" s="66"/>
      <c r="H4" s="66"/>
      <c r="I4" s="66"/>
      <c r="J4" s="66">
        <v>400</v>
      </c>
      <c r="K4" s="66">
        <v>350</v>
      </c>
      <c r="L4" s="66">
        <v>375</v>
      </c>
      <c r="M4" s="66"/>
      <c r="N4" s="66">
        <v>250</v>
      </c>
      <c r="O4" s="66">
        <v>250</v>
      </c>
      <c r="P4" s="66">
        <v>200</v>
      </c>
      <c r="Q4" s="152"/>
      <c r="R4" s="66"/>
      <c r="S4" s="66"/>
      <c r="T4" s="66"/>
      <c r="U4" s="66"/>
      <c r="V4" s="66"/>
      <c r="W4" s="66"/>
      <c r="X4" s="66"/>
      <c r="Y4" s="66"/>
      <c r="Z4" s="65">
        <v>1000</v>
      </c>
      <c r="AA4" s="66"/>
      <c r="AB4" s="66">
        <v>375</v>
      </c>
      <c r="AC4" s="66"/>
      <c r="AD4" s="66">
        <v>300</v>
      </c>
      <c r="AE4" s="66">
        <v>500</v>
      </c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7">
        <f t="shared" ref="AR4:AR19" si="0">E4-F4-G4-H4-I4-J4-K4-L4+M4-N4-O4-P4+Q4-R4-S4-T4+U4-V4-W4+X4-Y4+Z4-AA4-AB4+AC4-AD4-AE4-AF4-AG4-AH4-AI4-AJ4+AK4-AL4-AM4+AN4-AO4+AP4-AQ4</f>
        <v>75</v>
      </c>
    </row>
    <row r="5" spans="1:44" ht="15.75" thickBot="1">
      <c r="A5" s="18">
        <v>3</v>
      </c>
      <c r="B5" s="18" t="s">
        <v>27</v>
      </c>
      <c r="C5" s="18" t="s">
        <v>0</v>
      </c>
      <c r="D5" s="18" t="s">
        <v>1</v>
      </c>
      <c r="E5" s="7">
        <v>525</v>
      </c>
      <c r="F5" s="66"/>
      <c r="G5" s="66"/>
      <c r="H5" s="66">
        <v>150</v>
      </c>
      <c r="I5" s="66"/>
      <c r="J5" s="66">
        <v>150</v>
      </c>
      <c r="K5" s="66">
        <v>175</v>
      </c>
      <c r="L5" s="66"/>
      <c r="M5" s="66"/>
      <c r="N5" s="66"/>
      <c r="O5" s="66"/>
      <c r="P5" s="150"/>
      <c r="Q5" s="153">
        <v>2000</v>
      </c>
      <c r="R5" s="151">
        <v>150</v>
      </c>
      <c r="S5" s="66">
        <v>100</v>
      </c>
      <c r="T5" s="66">
        <v>100</v>
      </c>
      <c r="U5" s="66"/>
      <c r="V5" s="66"/>
      <c r="W5" s="66">
        <v>50</v>
      </c>
      <c r="X5" s="66"/>
      <c r="Y5" s="66">
        <v>150</v>
      </c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>
        <v>450</v>
      </c>
      <c r="AN5" s="66"/>
      <c r="AO5" s="66">
        <v>150</v>
      </c>
      <c r="AP5" s="65">
        <v>250</v>
      </c>
      <c r="AQ5" s="66">
        <v>300</v>
      </c>
      <c r="AR5" s="7">
        <f t="shared" si="0"/>
        <v>850</v>
      </c>
    </row>
    <row r="6" spans="1:44" ht="15.75" thickBot="1">
      <c r="A6" s="18">
        <v>4</v>
      </c>
      <c r="B6" s="18" t="s">
        <v>28</v>
      </c>
      <c r="C6" s="18" t="s">
        <v>0</v>
      </c>
      <c r="D6" s="18" t="s">
        <v>1</v>
      </c>
      <c r="E6" s="7">
        <v>1100</v>
      </c>
      <c r="F6" s="66"/>
      <c r="G6" s="66"/>
      <c r="H6" s="66"/>
      <c r="I6" s="66"/>
      <c r="J6" s="66"/>
      <c r="K6" s="66">
        <v>500</v>
      </c>
      <c r="L6" s="66">
        <v>600</v>
      </c>
      <c r="M6" s="148">
        <v>1500</v>
      </c>
      <c r="N6" s="66">
        <v>400</v>
      </c>
      <c r="O6" s="66">
        <v>100</v>
      </c>
      <c r="P6" s="66">
        <v>100</v>
      </c>
      <c r="Q6" s="146"/>
      <c r="R6" s="66"/>
      <c r="S6" s="66"/>
      <c r="T6" s="66"/>
      <c r="U6" s="66"/>
      <c r="V6" s="66"/>
      <c r="W6" s="66"/>
      <c r="X6" s="66"/>
      <c r="Y6" s="66"/>
      <c r="Z6" s="65">
        <v>5000</v>
      </c>
      <c r="AA6" s="66">
        <v>750</v>
      </c>
      <c r="AB6" s="66">
        <v>1050</v>
      </c>
      <c r="AC6" s="66"/>
      <c r="AD6" s="66">
        <v>675</v>
      </c>
      <c r="AE6" s="66">
        <v>750</v>
      </c>
      <c r="AF6" s="66">
        <v>500</v>
      </c>
      <c r="AG6" s="66"/>
      <c r="AH6" s="66"/>
      <c r="AI6" s="66"/>
      <c r="AJ6" s="66"/>
      <c r="AK6" s="66"/>
      <c r="AL6" s="66"/>
      <c r="AM6" s="66"/>
      <c r="AN6" s="66"/>
      <c r="AO6" s="66">
        <v>400</v>
      </c>
      <c r="AP6" s="66"/>
      <c r="AQ6" s="66">
        <v>250</v>
      </c>
      <c r="AR6" s="7">
        <f t="shared" si="0"/>
        <v>1525</v>
      </c>
    </row>
    <row r="7" spans="1:44" ht="15.75" thickBot="1">
      <c r="A7" s="18">
        <v>5</v>
      </c>
      <c r="B7" s="18" t="s">
        <v>106</v>
      </c>
      <c r="C7" s="18" t="s">
        <v>2</v>
      </c>
      <c r="D7" s="18" t="s">
        <v>1</v>
      </c>
      <c r="E7" s="7">
        <v>525</v>
      </c>
      <c r="F7" s="66"/>
      <c r="G7" s="66"/>
      <c r="H7" s="66"/>
      <c r="I7" s="66"/>
      <c r="J7" s="66"/>
      <c r="K7" s="66"/>
      <c r="L7" s="66"/>
      <c r="M7" s="66"/>
      <c r="N7" s="66"/>
      <c r="O7" s="66"/>
      <c r="P7" s="66">
        <v>250</v>
      </c>
      <c r="Q7" s="66"/>
      <c r="R7" s="66">
        <v>150</v>
      </c>
      <c r="S7" s="66"/>
      <c r="T7" s="66"/>
      <c r="U7" s="66"/>
      <c r="V7" s="66"/>
      <c r="W7" s="66"/>
      <c r="X7" s="152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7">
        <f t="shared" si="0"/>
        <v>125</v>
      </c>
    </row>
    <row r="8" spans="1:44" ht="15.75" thickBot="1">
      <c r="A8" s="18">
        <v>6</v>
      </c>
      <c r="B8" s="18" t="s">
        <v>30</v>
      </c>
      <c r="C8" s="18" t="s">
        <v>2</v>
      </c>
      <c r="D8" s="18" t="s">
        <v>1</v>
      </c>
      <c r="E8" s="7">
        <v>1475</v>
      </c>
      <c r="F8" s="66"/>
      <c r="G8" s="66"/>
      <c r="H8" s="66"/>
      <c r="I8" s="66"/>
      <c r="J8" s="66">
        <v>450</v>
      </c>
      <c r="K8" s="66">
        <v>500</v>
      </c>
      <c r="L8" s="66">
        <v>500</v>
      </c>
      <c r="M8" s="148">
        <v>1500</v>
      </c>
      <c r="N8" s="66"/>
      <c r="O8" s="66">
        <v>350</v>
      </c>
      <c r="P8" s="66"/>
      <c r="Q8" s="66"/>
      <c r="R8" s="66"/>
      <c r="S8" s="66">
        <v>350</v>
      </c>
      <c r="T8" s="66">
        <v>500</v>
      </c>
      <c r="U8" s="66"/>
      <c r="V8" s="66">
        <v>325</v>
      </c>
      <c r="W8" s="150"/>
      <c r="X8" s="65">
        <v>2000</v>
      </c>
      <c r="Y8" s="151"/>
      <c r="Z8" s="65">
        <v>3000</v>
      </c>
      <c r="AA8" s="66">
        <v>450</v>
      </c>
      <c r="AB8" s="66">
        <v>375</v>
      </c>
      <c r="AC8" s="66"/>
      <c r="AD8" s="66">
        <v>225</v>
      </c>
      <c r="AE8" s="66">
        <v>325</v>
      </c>
      <c r="AF8" s="66">
        <v>375</v>
      </c>
      <c r="AG8" s="66">
        <v>425</v>
      </c>
      <c r="AH8" s="66"/>
      <c r="AI8" s="66"/>
      <c r="AJ8" s="66">
        <v>400</v>
      </c>
      <c r="AK8" s="66"/>
      <c r="AL8" s="66">
        <v>1000</v>
      </c>
      <c r="AM8" s="66">
        <v>250</v>
      </c>
      <c r="AN8" s="66"/>
      <c r="AO8" s="66">
        <v>400</v>
      </c>
      <c r="AP8" s="65">
        <v>5000</v>
      </c>
      <c r="AQ8" s="66">
        <v>525</v>
      </c>
      <c r="AR8" s="7">
        <f t="shared" si="0"/>
        <v>5250</v>
      </c>
    </row>
    <row r="9" spans="1:44">
      <c r="A9" s="18">
        <v>7</v>
      </c>
      <c r="B9" s="18" t="s">
        <v>166</v>
      </c>
      <c r="C9" s="18" t="s">
        <v>2</v>
      </c>
      <c r="D9" s="18" t="s">
        <v>1</v>
      </c>
      <c r="E9" s="7">
        <v>1000</v>
      </c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14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7">
        <f t="shared" si="0"/>
        <v>1000</v>
      </c>
    </row>
    <row r="10" spans="1:44" ht="15.75" thickBot="1">
      <c r="A10" s="18">
        <v>8</v>
      </c>
      <c r="B10" s="18" t="s">
        <v>31</v>
      </c>
      <c r="C10" s="18" t="s">
        <v>2</v>
      </c>
      <c r="D10" s="18" t="s">
        <v>1</v>
      </c>
      <c r="E10" s="7">
        <v>600</v>
      </c>
      <c r="F10" s="66"/>
      <c r="G10" s="66"/>
      <c r="H10" s="66"/>
      <c r="I10" s="66"/>
      <c r="J10" s="66">
        <v>100</v>
      </c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152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>
        <v>50</v>
      </c>
      <c r="AN10" s="66"/>
      <c r="AO10" s="66"/>
      <c r="AP10" s="66"/>
      <c r="AQ10" s="66">
        <v>50</v>
      </c>
      <c r="AR10" s="7">
        <f t="shared" si="0"/>
        <v>400</v>
      </c>
    </row>
    <row r="11" spans="1:44" ht="15.75" thickBot="1">
      <c r="A11" s="18">
        <v>9</v>
      </c>
      <c r="B11" s="18" t="s">
        <v>33</v>
      </c>
      <c r="C11" s="18" t="s">
        <v>2</v>
      </c>
      <c r="D11" s="18" t="s">
        <v>1</v>
      </c>
      <c r="E11" s="7">
        <v>2850</v>
      </c>
      <c r="F11" s="66"/>
      <c r="G11" s="66">
        <v>50</v>
      </c>
      <c r="H11" s="66">
        <v>200</v>
      </c>
      <c r="I11" s="66"/>
      <c r="J11" s="66">
        <v>400</v>
      </c>
      <c r="K11" s="66"/>
      <c r="L11" s="66"/>
      <c r="M11" s="66"/>
      <c r="N11" s="66">
        <v>50</v>
      </c>
      <c r="O11" s="66">
        <v>250</v>
      </c>
      <c r="P11" s="66"/>
      <c r="Q11" s="66"/>
      <c r="R11" s="66">
        <v>250</v>
      </c>
      <c r="S11" s="66">
        <v>250</v>
      </c>
      <c r="T11" s="150">
        <v>600</v>
      </c>
      <c r="U11" s="65">
        <v>5000</v>
      </c>
      <c r="V11" s="151">
        <v>225</v>
      </c>
      <c r="W11" s="66">
        <v>125</v>
      </c>
      <c r="X11" s="66"/>
      <c r="Y11" s="66">
        <v>150</v>
      </c>
      <c r="Z11" s="66"/>
      <c r="AA11" s="66">
        <v>400</v>
      </c>
      <c r="AB11" s="66">
        <v>300</v>
      </c>
      <c r="AC11" s="66"/>
      <c r="AD11" s="66"/>
      <c r="AE11" s="66">
        <v>250</v>
      </c>
      <c r="AF11" s="66">
        <v>500</v>
      </c>
      <c r="AG11" s="66">
        <v>250</v>
      </c>
      <c r="AH11" s="66"/>
      <c r="AI11" s="66"/>
      <c r="AJ11" s="66"/>
      <c r="AK11" s="66"/>
      <c r="AL11" s="66"/>
      <c r="AM11" s="66"/>
      <c r="AN11" s="66"/>
      <c r="AO11" s="66">
        <v>250</v>
      </c>
      <c r="AP11" s="65">
        <v>1500</v>
      </c>
      <c r="AQ11" s="66">
        <v>200</v>
      </c>
      <c r="AR11" s="7">
        <f t="shared" si="0"/>
        <v>4650</v>
      </c>
    </row>
    <row r="12" spans="1:44">
      <c r="A12" s="18">
        <v>10</v>
      </c>
      <c r="B12" s="18" t="s">
        <v>34</v>
      </c>
      <c r="C12" s="18" t="s">
        <v>2</v>
      </c>
      <c r="D12" s="18" t="s">
        <v>1</v>
      </c>
      <c r="E12" s="7">
        <v>0</v>
      </c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14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7">
        <f t="shared" si="0"/>
        <v>0</v>
      </c>
    </row>
    <row r="13" spans="1:44" ht="15.75" thickBot="1">
      <c r="A13" s="18">
        <v>11</v>
      </c>
      <c r="B13" s="18" t="s">
        <v>74</v>
      </c>
      <c r="C13" s="18" t="s">
        <v>2</v>
      </c>
      <c r="D13" s="18" t="s">
        <v>1</v>
      </c>
      <c r="E13" s="7">
        <v>0</v>
      </c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7">
        <f t="shared" si="0"/>
        <v>0</v>
      </c>
    </row>
    <row r="14" spans="1:44" ht="15.75" thickBot="1">
      <c r="A14" s="18">
        <v>12</v>
      </c>
      <c r="B14" s="18" t="s">
        <v>35</v>
      </c>
      <c r="C14" s="18" t="s">
        <v>3</v>
      </c>
      <c r="D14" s="18" t="s">
        <v>1</v>
      </c>
      <c r="E14" s="7">
        <v>3650</v>
      </c>
      <c r="F14" s="66"/>
      <c r="G14" s="66"/>
      <c r="H14" s="66">
        <v>200</v>
      </c>
      <c r="I14" s="66"/>
      <c r="J14" s="66"/>
      <c r="K14" s="66"/>
      <c r="L14" s="66"/>
      <c r="M14" s="66"/>
      <c r="N14" s="66"/>
      <c r="O14" s="66">
        <v>200</v>
      </c>
      <c r="P14" s="66"/>
      <c r="Q14" s="66"/>
      <c r="R14" s="66"/>
      <c r="S14" s="66"/>
      <c r="T14" s="66">
        <v>250</v>
      </c>
      <c r="U14" s="66"/>
      <c r="V14" s="66"/>
      <c r="W14" s="66"/>
      <c r="X14" s="66"/>
      <c r="Y14" s="66">
        <v>400</v>
      </c>
      <c r="Z14" s="66"/>
      <c r="AA14" s="66">
        <v>550</v>
      </c>
      <c r="AB14" s="66">
        <v>425</v>
      </c>
      <c r="AC14" s="65">
        <v>5000</v>
      </c>
      <c r="AD14" s="66">
        <v>775</v>
      </c>
      <c r="AE14" s="66">
        <v>400</v>
      </c>
      <c r="AF14" s="66">
        <v>600</v>
      </c>
      <c r="AG14" s="66">
        <v>500</v>
      </c>
      <c r="AH14" s="66"/>
      <c r="AI14" s="66"/>
      <c r="AJ14" s="66">
        <v>500</v>
      </c>
      <c r="AK14" s="65">
        <v>5000</v>
      </c>
      <c r="AL14" s="66">
        <v>250</v>
      </c>
      <c r="AM14" s="66">
        <v>750</v>
      </c>
      <c r="AN14" s="66"/>
      <c r="AO14" s="66"/>
      <c r="AP14" s="66"/>
      <c r="AQ14" s="66"/>
      <c r="AR14" s="7">
        <f t="shared" si="0"/>
        <v>7850</v>
      </c>
    </row>
    <row r="15" spans="1:44">
      <c r="A15" s="18">
        <v>13</v>
      </c>
      <c r="B15" s="18" t="s">
        <v>36</v>
      </c>
      <c r="C15" s="18" t="s">
        <v>2</v>
      </c>
      <c r="D15" s="18" t="s">
        <v>1</v>
      </c>
      <c r="E15" s="7">
        <v>150</v>
      </c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7">
        <f t="shared" si="0"/>
        <v>150</v>
      </c>
    </row>
    <row r="16" spans="1:44">
      <c r="A16" s="18">
        <v>14</v>
      </c>
      <c r="B16" s="18" t="s">
        <v>52</v>
      </c>
      <c r="C16" s="18" t="s">
        <v>37</v>
      </c>
      <c r="D16" s="18" t="s">
        <v>1</v>
      </c>
      <c r="E16" s="7">
        <v>350</v>
      </c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7">
        <f t="shared" si="0"/>
        <v>350</v>
      </c>
    </row>
    <row r="17" spans="1:44">
      <c r="A17" s="18">
        <v>15</v>
      </c>
      <c r="B17" s="18" t="s">
        <v>184</v>
      </c>
      <c r="C17" s="18" t="s">
        <v>185</v>
      </c>
      <c r="D17" s="18" t="s">
        <v>1</v>
      </c>
      <c r="E17" s="7">
        <v>0</v>
      </c>
      <c r="F17" s="66"/>
      <c r="G17" s="66"/>
      <c r="H17" s="66"/>
      <c r="I17" s="66"/>
      <c r="J17" s="66"/>
      <c r="K17" s="66"/>
      <c r="L17" s="66"/>
      <c r="M17" s="148">
        <v>500</v>
      </c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7">
        <f t="shared" si="0"/>
        <v>500</v>
      </c>
    </row>
    <row r="18" spans="1:44" ht="15.75" thickBot="1">
      <c r="A18" s="18">
        <v>16</v>
      </c>
      <c r="B18" s="119" t="s">
        <v>158</v>
      </c>
      <c r="C18" s="18" t="s">
        <v>2</v>
      </c>
      <c r="D18" s="18" t="s">
        <v>1</v>
      </c>
      <c r="E18" s="7">
        <v>0</v>
      </c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7">
        <f t="shared" si="0"/>
        <v>0</v>
      </c>
    </row>
    <row r="19" spans="1:44" ht="15.75" thickBot="1">
      <c r="A19" s="18">
        <v>17</v>
      </c>
      <c r="B19" s="18" t="s">
        <v>179</v>
      </c>
      <c r="C19" s="18"/>
      <c r="D19" s="18" t="s">
        <v>1</v>
      </c>
      <c r="E19" s="7">
        <v>200</v>
      </c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>
        <v>200</v>
      </c>
      <c r="AK19" s="66"/>
      <c r="AL19" s="66"/>
      <c r="AM19" s="66"/>
      <c r="AN19" s="65">
        <v>1000</v>
      </c>
      <c r="AO19" s="66">
        <v>100</v>
      </c>
      <c r="AP19" s="66"/>
      <c r="AQ19" s="66">
        <v>625</v>
      </c>
      <c r="AR19" s="7">
        <f t="shared" si="0"/>
        <v>275</v>
      </c>
    </row>
    <row r="20" spans="1:44" ht="15.75">
      <c r="A20" s="228"/>
      <c r="B20" s="229"/>
      <c r="C20" s="230"/>
      <c r="D20" s="16" t="s">
        <v>51</v>
      </c>
      <c r="E20" s="15">
        <f>SUM(E3:E18)</f>
        <v>15100</v>
      </c>
      <c r="F20" s="127">
        <f>SUM(F3:F17)</f>
        <v>0</v>
      </c>
      <c r="G20" s="127"/>
      <c r="H20" s="127">
        <f>SUM(H3:H17)</f>
        <v>550</v>
      </c>
      <c r="I20" s="127">
        <f>SUM(I3:I17)</f>
        <v>0</v>
      </c>
      <c r="J20" s="127">
        <f t="shared" ref="J20:Q20" si="1">SUM(J3:J17)</f>
        <v>1500</v>
      </c>
      <c r="K20" s="127">
        <f t="shared" si="1"/>
        <v>1525</v>
      </c>
      <c r="L20" s="127">
        <f t="shared" si="1"/>
        <v>1475</v>
      </c>
      <c r="M20" s="127"/>
      <c r="N20" s="127">
        <f t="shared" si="1"/>
        <v>700</v>
      </c>
      <c r="O20" s="127">
        <f t="shared" si="1"/>
        <v>1150</v>
      </c>
      <c r="P20" s="127">
        <f t="shared" si="1"/>
        <v>550</v>
      </c>
      <c r="Q20" s="127">
        <f t="shared" si="1"/>
        <v>2000</v>
      </c>
      <c r="R20" s="127"/>
      <c r="S20" s="127">
        <f t="shared" ref="S20:Y20" si="2">SUM(S3:S17)</f>
        <v>700</v>
      </c>
      <c r="T20" s="127">
        <f t="shared" si="2"/>
        <v>1450</v>
      </c>
      <c r="U20" s="127"/>
      <c r="V20" s="127">
        <f t="shared" si="2"/>
        <v>550</v>
      </c>
      <c r="W20" s="127">
        <f t="shared" si="2"/>
        <v>175</v>
      </c>
      <c r="X20" s="127">
        <f t="shared" si="2"/>
        <v>2000</v>
      </c>
      <c r="Y20" s="127">
        <f t="shared" si="2"/>
        <v>700</v>
      </c>
      <c r="Z20" s="127"/>
      <c r="AA20" s="127"/>
      <c r="AB20" s="127">
        <f>SUM(AB3:AB17)</f>
        <v>2525</v>
      </c>
      <c r="AC20" s="127"/>
      <c r="AD20" s="127"/>
      <c r="AE20" s="127">
        <f>SUM(AE3:AE17)</f>
        <v>2225</v>
      </c>
      <c r="AF20" s="127"/>
      <c r="AG20" s="127">
        <f>SUM(AG3:AG17)</f>
        <v>1725</v>
      </c>
      <c r="AH20" s="127">
        <f>SUM(AH3:AH17)</f>
        <v>0</v>
      </c>
      <c r="AI20" s="127">
        <f>SUM(AI3:AI17)</f>
        <v>0</v>
      </c>
      <c r="AJ20" s="127"/>
      <c r="AK20" s="127"/>
      <c r="AL20" s="127">
        <f>SUM(AL3:AL17)</f>
        <v>2250</v>
      </c>
      <c r="AM20" s="127">
        <f>SUM(AM3:AM17)</f>
        <v>2050</v>
      </c>
      <c r="AN20" s="127"/>
      <c r="AO20" s="127"/>
      <c r="AP20" s="127"/>
      <c r="AQ20" s="127"/>
      <c r="AR20" s="7"/>
    </row>
    <row r="21" spans="1:44" ht="15.75">
      <c r="A21" s="21"/>
      <c r="B21" s="21"/>
      <c r="C21" s="21"/>
      <c r="D21" s="54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</row>
    <row r="22" spans="1:44" ht="15.75">
      <c r="A22" s="51"/>
      <c r="B22" s="51" t="s">
        <v>8</v>
      </c>
      <c r="C22" s="51" t="s">
        <v>67</v>
      </c>
      <c r="D22" s="51" t="s">
        <v>68</v>
      </c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</row>
    <row r="23" spans="1:44">
      <c r="A23" s="18">
        <v>1</v>
      </c>
      <c r="B23" s="18" t="s">
        <v>32</v>
      </c>
      <c r="C23" s="18">
        <f t="shared" ref="C23:C39" si="3">AR3</f>
        <v>13450</v>
      </c>
      <c r="D23" s="50">
        <v>1000</v>
      </c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</row>
    <row r="24" spans="1:44">
      <c r="A24" s="18">
        <v>2</v>
      </c>
      <c r="B24" s="18" t="s">
        <v>26</v>
      </c>
      <c r="C24" s="18">
        <f t="shared" si="3"/>
        <v>75</v>
      </c>
      <c r="D24" s="50">
        <v>1000</v>
      </c>
      <c r="F24" s="68"/>
      <c r="G24" s="68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8"/>
      <c r="T24" s="68"/>
      <c r="U24" s="68"/>
    </row>
    <row r="25" spans="1:44">
      <c r="A25" s="18">
        <v>3</v>
      </c>
      <c r="B25" s="18" t="s">
        <v>27</v>
      </c>
      <c r="C25" s="18">
        <f t="shared" si="3"/>
        <v>850</v>
      </c>
      <c r="D25" s="50">
        <v>1000</v>
      </c>
      <c r="F25" s="68"/>
      <c r="G25" s="68"/>
      <c r="H25" s="70"/>
      <c r="I25" s="70"/>
      <c r="J25" s="70"/>
      <c r="K25" s="70"/>
      <c r="L25" s="69"/>
      <c r="M25" s="69"/>
      <c r="N25" s="69"/>
      <c r="O25" s="69"/>
      <c r="P25" s="69"/>
      <c r="Q25" s="69"/>
      <c r="R25" s="69"/>
      <c r="S25" s="68"/>
      <c r="T25" s="68"/>
      <c r="U25" s="68"/>
    </row>
    <row r="26" spans="1:44">
      <c r="A26" s="18">
        <v>4</v>
      </c>
      <c r="B26" s="18" t="s">
        <v>28</v>
      </c>
      <c r="C26" s="18">
        <f t="shared" si="3"/>
        <v>1525</v>
      </c>
      <c r="D26" s="50">
        <v>1500</v>
      </c>
      <c r="F26" s="68"/>
      <c r="G26" s="68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68"/>
      <c r="T26" s="68"/>
      <c r="U26" s="68"/>
    </row>
    <row r="27" spans="1:44">
      <c r="A27" s="18">
        <v>5</v>
      </c>
      <c r="B27" s="18" t="s">
        <v>29</v>
      </c>
      <c r="C27" s="18">
        <f t="shared" si="3"/>
        <v>125</v>
      </c>
      <c r="D27" s="50">
        <v>500</v>
      </c>
      <c r="F27" s="68"/>
      <c r="G27" s="68"/>
      <c r="H27" s="70"/>
      <c r="I27" s="70"/>
      <c r="J27" s="70"/>
      <c r="K27" s="70"/>
      <c r="L27" s="70"/>
      <c r="M27" s="70"/>
      <c r="N27" s="70"/>
      <c r="O27" s="70"/>
      <c r="P27" s="70"/>
      <c r="Q27" s="71"/>
      <c r="R27" s="71"/>
      <c r="S27" s="68"/>
      <c r="T27" s="68"/>
      <c r="U27" s="68"/>
    </row>
    <row r="28" spans="1:44">
      <c r="A28" s="18">
        <v>6</v>
      </c>
      <c r="B28" s="18" t="s">
        <v>30</v>
      </c>
      <c r="C28" s="18">
        <f t="shared" si="3"/>
        <v>5250</v>
      </c>
      <c r="D28" s="50">
        <v>500</v>
      </c>
      <c r="F28" s="68"/>
      <c r="G28" s="68"/>
      <c r="H28" s="70"/>
      <c r="I28" s="70"/>
      <c r="J28" s="70"/>
      <c r="K28" s="70"/>
      <c r="L28" s="71"/>
      <c r="M28" s="71"/>
      <c r="N28" s="71"/>
      <c r="O28" s="71"/>
      <c r="P28" s="71"/>
      <c r="Q28" s="71"/>
      <c r="R28" s="71"/>
      <c r="S28" s="68"/>
      <c r="T28" s="68"/>
      <c r="U28" s="68"/>
    </row>
    <row r="29" spans="1:44">
      <c r="A29" s="18">
        <v>7</v>
      </c>
      <c r="B29" s="18" t="s">
        <v>166</v>
      </c>
      <c r="C29" s="18">
        <f t="shared" si="3"/>
        <v>1000</v>
      </c>
      <c r="D29" s="50">
        <v>500</v>
      </c>
      <c r="F29" s="68"/>
      <c r="G29" s="68"/>
      <c r="H29" s="70"/>
      <c r="I29" s="70"/>
      <c r="J29" s="70"/>
      <c r="K29" s="70"/>
      <c r="L29" s="71"/>
      <c r="M29" s="71"/>
      <c r="N29" s="71"/>
      <c r="O29" s="71"/>
      <c r="P29" s="71"/>
      <c r="Q29" s="71"/>
      <c r="R29" s="71"/>
      <c r="S29" s="68"/>
      <c r="T29" s="68"/>
      <c r="U29" s="68"/>
    </row>
    <row r="30" spans="1:44">
      <c r="A30" s="18">
        <v>8</v>
      </c>
      <c r="B30" s="18" t="s">
        <v>31</v>
      </c>
      <c r="C30" s="18">
        <f t="shared" si="3"/>
        <v>400</v>
      </c>
      <c r="D30" s="50">
        <v>200</v>
      </c>
      <c r="F30" s="68"/>
      <c r="G30" s="68"/>
      <c r="H30" s="70"/>
      <c r="I30" s="70"/>
      <c r="J30" s="70"/>
      <c r="K30" s="70"/>
      <c r="L30" s="69"/>
      <c r="M30" s="69"/>
      <c r="N30" s="69"/>
      <c r="O30" s="69"/>
      <c r="P30" s="69"/>
      <c r="Q30" s="69"/>
      <c r="R30" s="69"/>
      <c r="S30" s="68"/>
      <c r="T30" s="68"/>
      <c r="U30" s="68"/>
    </row>
    <row r="31" spans="1:44">
      <c r="A31" s="18">
        <v>9</v>
      </c>
      <c r="B31" s="18" t="s">
        <v>33</v>
      </c>
      <c r="C31" s="18">
        <f t="shared" si="3"/>
        <v>4650</v>
      </c>
      <c r="D31" s="50">
        <v>500</v>
      </c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</row>
    <row r="32" spans="1:44">
      <c r="A32" s="18">
        <v>10</v>
      </c>
      <c r="B32" s="18" t="s">
        <v>34</v>
      </c>
      <c r="C32" s="18">
        <f t="shared" si="3"/>
        <v>0</v>
      </c>
      <c r="D32" s="50">
        <v>1000</v>
      </c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</row>
    <row r="33" spans="1:18">
      <c r="A33" s="18">
        <v>11</v>
      </c>
      <c r="B33" s="18" t="s">
        <v>74</v>
      </c>
      <c r="C33" s="18">
        <f t="shared" si="3"/>
        <v>0</v>
      </c>
      <c r="D33" s="50">
        <v>1000</v>
      </c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</row>
    <row r="34" spans="1:18">
      <c r="A34" s="18">
        <v>12</v>
      </c>
      <c r="B34" s="18" t="s">
        <v>35</v>
      </c>
      <c r="C34" s="18">
        <f t="shared" si="3"/>
        <v>7850</v>
      </c>
      <c r="D34" s="50">
        <v>1000</v>
      </c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</row>
    <row r="35" spans="1:18">
      <c r="A35" s="18">
        <v>13</v>
      </c>
      <c r="B35" s="18" t="s">
        <v>36</v>
      </c>
      <c r="C35" s="18">
        <f t="shared" si="3"/>
        <v>150</v>
      </c>
      <c r="D35" s="50">
        <v>100</v>
      </c>
    </row>
    <row r="36" spans="1:18">
      <c r="A36" s="18">
        <v>14</v>
      </c>
      <c r="B36" s="18" t="s">
        <v>52</v>
      </c>
      <c r="C36" s="18">
        <f t="shared" si="3"/>
        <v>350</v>
      </c>
      <c r="D36" s="50">
        <v>100</v>
      </c>
    </row>
    <row r="37" spans="1:18">
      <c r="A37" s="18">
        <v>15</v>
      </c>
      <c r="B37" s="18" t="s">
        <v>184</v>
      </c>
      <c r="C37" s="18">
        <f t="shared" si="3"/>
        <v>500</v>
      </c>
      <c r="D37" s="50"/>
    </row>
    <row r="38" spans="1:18">
      <c r="A38" s="18">
        <v>16</v>
      </c>
      <c r="B38" s="119" t="s">
        <v>158</v>
      </c>
      <c r="C38" s="18">
        <f t="shared" si="3"/>
        <v>0</v>
      </c>
    </row>
    <row r="39" spans="1:18">
      <c r="A39" s="18">
        <v>17</v>
      </c>
      <c r="B39" s="18" t="s">
        <v>179</v>
      </c>
      <c r="C39" s="18">
        <f t="shared" si="3"/>
        <v>275</v>
      </c>
    </row>
  </sheetData>
  <mergeCells count="2">
    <mergeCell ref="A1:E1"/>
    <mergeCell ref="A20:C20"/>
  </mergeCells>
  <conditionalFormatting sqref="C10:C11 C1:C7 C14:C16">
    <cfRule type="expression" priority="3">
      <formula>C22&lt;B22</formula>
    </cfRule>
  </conditionalFormatting>
  <conditionalFormatting sqref="C12:C13 C8:C9">
    <cfRule type="expression" priority="5">
      <formula>C30&lt;B30</formula>
    </cfRule>
  </conditionalFormatting>
  <conditionalFormatting sqref="C38:C1048557">
    <cfRule type="expression" priority="2">
      <formula>C55&lt;B55</formula>
    </cfRule>
  </conditionalFormatting>
  <conditionalFormatting sqref="C22:C37">
    <cfRule type="expression" priority="4">
      <formula>C38&lt;B38</formula>
    </cfRule>
  </conditionalFormatting>
  <conditionalFormatting sqref="C23:C39">
    <cfRule type="expression" dxfId="6" priority="1">
      <formula>$D23&gt;$C23</formula>
    </cfRule>
  </conditionalFormatting>
  <conditionalFormatting sqref="C18:C19">
    <cfRule type="expression" priority="6">
      <formula>C38&lt;B38</formula>
    </cfRule>
  </conditionalFormatting>
  <conditionalFormatting sqref="C21">
    <cfRule type="expression" priority="7">
      <formula>#REF!&lt;#REF!</formula>
    </cfRule>
  </conditionalFormatting>
  <conditionalFormatting sqref="C30:C37 C1048562">
    <cfRule type="expression" priority="8">
      <formula>C45&lt;B45</formula>
    </cfRule>
  </conditionalFormatting>
  <conditionalFormatting sqref="C38:C39">
    <cfRule type="expression" priority="9">
      <formula>C56&lt;B56</formula>
    </cfRule>
  </conditionalFormatting>
  <conditionalFormatting sqref="C1048558:C1048561">
    <cfRule type="expression" priority="10">
      <formula>C1&lt;B1</formula>
    </cfRule>
  </conditionalFormatting>
  <conditionalFormatting sqref="C17">
    <cfRule type="expression" priority="11">
      <formula>#REF!&lt;#REF!</formula>
    </cfRule>
  </conditionalFormatting>
  <conditionalFormatting sqref="C20">
    <cfRule type="expression" priority="12">
      <formula>#REF!&lt;#REF!</formula>
    </cfRule>
  </conditionalFormatting>
  <conditionalFormatting sqref="C1048563:C1048576">
    <cfRule type="expression" priority="13">
      <formula>C1&lt;B1</formula>
    </cfRule>
  </conditionalFormatting>
  <pageMargins left="0.7" right="0.7" top="0.75" bottom="0.75" header="0.3" footer="0.3"/>
  <pageSetup scale="6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8"/>
  <sheetViews>
    <sheetView zoomScaleNormal="100" workbookViewId="0">
      <pane xSplit="5" ySplit="2" topLeftCell="F32" activePane="bottomRight" state="frozen"/>
      <selection pane="topRight" activeCell="F1" sqref="F1"/>
      <selection pane="bottomLeft" activeCell="A3" sqref="A3"/>
      <selection pane="bottomRight" activeCell="C38" sqref="C38"/>
    </sheetView>
  </sheetViews>
  <sheetFormatPr defaultColWidth="9" defaultRowHeight="15"/>
  <cols>
    <col min="1" max="1" width="9" style="2"/>
    <col min="2" max="2" width="26.28515625" style="2" bestFit="1" customWidth="1"/>
    <col min="3" max="4" width="15" style="2" customWidth="1"/>
    <col min="5" max="5" width="10.85546875" style="2" customWidth="1"/>
    <col min="6" max="14" width="10.42578125" style="2" customWidth="1"/>
    <col min="15" max="15" width="11.140625" style="2" customWidth="1"/>
    <col min="16" max="19" width="10.42578125" style="2" customWidth="1"/>
    <col min="20" max="20" width="11.28515625" style="2" customWidth="1"/>
    <col min="21" max="23" width="10.42578125" style="2" customWidth="1"/>
    <col min="24" max="30" width="10.42578125" customWidth="1"/>
    <col min="31" max="31" width="11.42578125" customWidth="1"/>
    <col min="32" max="37" width="10.42578125" customWidth="1"/>
  </cols>
  <sheetData>
    <row r="1" spans="1:38" ht="30.75">
      <c r="A1" s="231" t="s">
        <v>7</v>
      </c>
      <c r="B1" s="231"/>
      <c r="C1" s="231"/>
      <c r="D1" s="231"/>
      <c r="E1" s="231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38"/>
    </row>
    <row r="2" spans="1:38" s="1" customFormat="1" ht="32.25" customHeight="1">
      <c r="A2" s="5" t="s">
        <v>57</v>
      </c>
      <c r="B2" s="5" t="s">
        <v>56</v>
      </c>
      <c r="C2" s="5" t="s">
        <v>103</v>
      </c>
      <c r="D2" s="5" t="s">
        <v>54</v>
      </c>
      <c r="E2" s="84" t="s">
        <v>182</v>
      </c>
      <c r="F2" s="6">
        <v>46023</v>
      </c>
      <c r="G2" s="6">
        <v>46024</v>
      </c>
      <c r="H2" s="6">
        <v>46025</v>
      </c>
      <c r="I2" s="6">
        <v>46026</v>
      </c>
      <c r="J2" s="6">
        <v>46027</v>
      </c>
      <c r="K2" s="6">
        <v>46028</v>
      </c>
      <c r="L2" s="6">
        <v>46029</v>
      </c>
      <c r="M2" s="85" t="s">
        <v>187</v>
      </c>
      <c r="N2" s="6">
        <v>46030</v>
      </c>
      <c r="O2" s="6">
        <v>46031</v>
      </c>
      <c r="P2" s="6">
        <v>46032</v>
      </c>
      <c r="Q2" s="6">
        <v>46033</v>
      </c>
      <c r="R2" s="6">
        <v>46034</v>
      </c>
      <c r="S2" s="6">
        <v>46035</v>
      </c>
      <c r="T2" s="6">
        <v>46036</v>
      </c>
      <c r="U2" s="6">
        <v>46037</v>
      </c>
      <c r="V2" s="6">
        <v>46038</v>
      </c>
      <c r="W2" s="6">
        <v>46039</v>
      </c>
      <c r="X2" s="6">
        <v>46040</v>
      </c>
      <c r="Y2" s="6">
        <v>46041</v>
      </c>
      <c r="Z2" s="6">
        <v>46042</v>
      </c>
      <c r="AA2" s="6">
        <v>46043</v>
      </c>
      <c r="AB2" s="6">
        <v>46044</v>
      </c>
      <c r="AC2" s="6">
        <v>46045</v>
      </c>
      <c r="AD2" s="6">
        <v>46046</v>
      </c>
      <c r="AE2" s="6">
        <v>46047</v>
      </c>
      <c r="AF2" s="6">
        <v>46048</v>
      </c>
      <c r="AG2" s="6">
        <v>46049</v>
      </c>
      <c r="AH2" s="6">
        <v>46050</v>
      </c>
      <c r="AI2" s="6">
        <v>46051</v>
      </c>
      <c r="AJ2" s="6">
        <v>46052</v>
      </c>
      <c r="AK2" s="6">
        <v>46053</v>
      </c>
      <c r="AL2" s="5" t="s">
        <v>5</v>
      </c>
    </row>
    <row r="3" spans="1:38">
      <c r="A3" s="18">
        <v>1</v>
      </c>
      <c r="B3" s="57" t="s">
        <v>84</v>
      </c>
      <c r="C3" s="3" t="s">
        <v>95</v>
      </c>
      <c r="D3" s="3" t="s">
        <v>1</v>
      </c>
      <c r="E3" s="7">
        <v>350</v>
      </c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66"/>
      <c r="X3" s="106"/>
      <c r="Y3" s="106"/>
      <c r="Z3" s="137"/>
      <c r="AA3" s="137"/>
      <c r="AB3" s="137"/>
      <c r="AC3" s="137"/>
      <c r="AD3" s="137"/>
      <c r="AE3" s="107"/>
      <c r="AF3" s="137"/>
      <c r="AG3" s="137"/>
      <c r="AH3" s="137"/>
      <c r="AI3" s="137"/>
      <c r="AJ3" s="137"/>
      <c r="AK3" s="137"/>
      <c r="AL3" s="7">
        <f>E3-F3-G3-H3-I3-J3-K3-L3+M3-N3-O3-P3-Q3-R3-S3-T3-U3-V3-W3-X3-Y3-Z3-AA3-AB3-AC3-AD3-AE3-AF3-AG3-AH3-AI3-AJ3-AK3</f>
        <v>350</v>
      </c>
    </row>
    <row r="4" spans="1:38">
      <c r="A4" s="18">
        <v>2</v>
      </c>
      <c r="B4" s="57" t="s">
        <v>97</v>
      </c>
      <c r="C4" s="57" t="s">
        <v>96</v>
      </c>
      <c r="D4" s="3" t="s">
        <v>1</v>
      </c>
      <c r="E4" s="7">
        <v>225</v>
      </c>
      <c r="F4" s="106"/>
      <c r="G4" s="106"/>
      <c r="H4" s="106"/>
      <c r="I4" s="106"/>
      <c r="J4" s="106"/>
      <c r="K4" s="106"/>
      <c r="L4" s="106">
        <v>25</v>
      </c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66"/>
      <c r="X4" s="106"/>
      <c r="Y4" s="106"/>
      <c r="Z4" s="137"/>
      <c r="AA4" s="137"/>
      <c r="AB4" s="137"/>
      <c r="AC4" s="137"/>
      <c r="AD4" s="137"/>
      <c r="AE4" s="107"/>
      <c r="AF4" s="137"/>
      <c r="AG4" s="137"/>
      <c r="AH4" s="137"/>
      <c r="AI4" s="137"/>
      <c r="AJ4" s="137"/>
      <c r="AK4" s="137">
        <v>25</v>
      </c>
      <c r="AL4" s="7">
        <f t="shared" ref="AL4:AL24" si="0">E4-F4-G4-H4-I4-J4-K4-L4+M4-N4-O4-P4-Q4-R4-S4-T4-U4-V4-W4-X4-Y4-Z4-AA4-AB4-AC4-AD4-AE4-AF4-AG4-AH4-AI4-AJ4-AK4</f>
        <v>175</v>
      </c>
    </row>
    <row r="5" spans="1:38">
      <c r="A5" s="18">
        <v>3</v>
      </c>
      <c r="B5" s="57" t="s">
        <v>85</v>
      </c>
      <c r="C5" s="57" t="s">
        <v>98</v>
      </c>
      <c r="D5" s="3" t="s">
        <v>1</v>
      </c>
      <c r="E5" s="7">
        <v>350</v>
      </c>
      <c r="F5" s="106"/>
      <c r="G5" s="106"/>
      <c r="H5" s="106">
        <v>25</v>
      </c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66"/>
      <c r="X5" s="106"/>
      <c r="Y5" s="106"/>
      <c r="Z5" s="137">
        <v>25</v>
      </c>
      <c r="AA5" s="137"/>
      <c r="AB5" s="137"/>
      <c r="AC5" s="137">
        <v>25</v>
      </c>
      <c r="AD5" s="137"/>
      <c r="AE5" s="107"/>
      <c r="AF5" s="137"/>
      <c r="AG5" s="137"/>
      <c r="AH5" s="137"/>
      <c r="AI5" s="137"/>
      <c r="AJ5" s="137">
        <v>25</v>
      </c>
      <c r="AK5" s="137"/>
      <c r="AL5" s="7">
        <f t="shared" si="0"/>
        <v>250</v>
      </c>
    </row>
    <row r="6" spans="1:38">
      <c r="A6" s="18">
        <v>4</v>
      </c>
      <c r="B6" s="57" t="s">
        <v>99</v>
      </c>
      <c r="C6" s="57" t="s">
        <v>95</v>
      </c>
      <c r="D6" s="3" t="s">
        <v>1</v>
      </c>
      <c r="E6" s="7">
        <v>575</v>
      </c>
      <c r="F6" s="137"/>
      <c r="G6" s="137"/>
      <c r="H6" s="137"/>
      <c r="I6" s="137"/>
      <c r="J6" s="137"/>
      <c r="K6" s="137"/>
      <c r="L6" s="137"/>
      <c r="M6" s="137"/>
      <c r="N6" s="137"/>
      <c r="O6" s="137">
        <v>25</v>
      </c>
      <c r="P6" s="137"/>
      <c r="Q6" s="137"/>
      <c r="R6" s="137"/>
      <c r="S6" s="137"/>
      <c r="T6" s="137"/>
      <c r="U6" s="137"/>
      <c r="V6" s="137"/>
      <c r="W6" s="108"/>
      <c r="X6" s="137"/>
      <c r="Y6" s="137">
        <v>25</v>
      </c>
      <c r="Z6" s="137">
        <v>25</v>
      </c>
      <c r="AA6" s="137">
        <v>25</v>
      </c>
      <c r="AB6" s="137">
        <v>25</v>
      </c>
      <c r="AC6" s="137">
        <v>25</v>
      </c>
      <c r="AD6" s="137"/>
      <c r="AE6" s="137"/>
      <c r="AF6" s="137"/>
      <c r="AG6" s="137">
        <v>25</v>
      </c>
      <c r="AH6" s="137"/>
      <c r="AI6" s="137">
        <v>25</v>
      </c>
      <c r="AJ6" s="108"/>
      <c r="AK6" s="137"/>
      <c r="AL6" s="7">
        <f t="shared" si="0"/>
        <v>375</v>
      </c>
    </row>
    <row r="7" spans="1:38">
      <c r="A7" s="18">
        <v>5</v>
      </c>
      <c r="B7" s="57" t="s">
        <v>86</v>
      </c>
      <c r="C7" s="57" t="s">
        <v>100</v>
      </c>
      <c r="D7" s="3" t="s">
        <v>1</v>
      </c>
      <c r="E7" s="7">
        <v>75</v>
      </c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08"/>
      <c r="Q7" s="137"/>
      <c r="R7" s="137"/>
      <c r="S7" s="137"/>
      <c r="T7" s="137"/>
      <c r="U7" s="137"/>
      <c r="V7" s="137"/>
      <c r="W7" s="108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  <c r="AK7" s="137"/>
      <c r="AL7" s="7">
        <f t="shared" si="0"/>
        <v>75</v>
      </c>
    </row>
    <row r="8" spans="1:38">
      <c r="A8" s="18">
        <v>6</v>
      </c>
      <c r="B8" s="57" t="s">
        <v>87</v>
      </c>
      <c r="C8" s="57" t="s">
        <v>101</v>
      </c>
      <c r="D8" s="4" t="s">
        <v>1</v>
      </c>
      <c r="E8" s="7">
        <v>100</v>
      </c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08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7">
        <f t="shared" si="0"/>
        <v>100</v>
      </c>
    </row>
    <row r="9" spans="1:38">
      <c r="A9" s="18">
        <v>7</v>
      </c>
      <c r="B9" s="57" t="s">
        <v>88</v>
      </c>
      <c r="C9" s="57" t="s">
        <v>96</v>
      </c>
      <c r="D9" s="4" t="s">
        <v>1</v>
      </c>
      <c r="E9" s="7">
        <v>250</v>
      </c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>
        <v>25</v>
      </c>
      <c r="S9" s="137"/>
      <c r="T9" s="108"/>
      <c r="U9" s="137"/>
      <c r="V9" s="137"/>
      <c r="W9" s="108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7"/>
      <c r="AK9" s="137"/>
      <c r="AL9" s="7">
        <f t="shared" si="0"/>
        <v>225</v>
      </c>
    </row>
    <row r="10" spans="1:38">
      <c r="A10" s="18">
        <v>8</v>
      </c>
      <c r="B10" s="57" t="s">
        <v>89</v>
      </c>
      <c r="C10" s="57" t="s">
        <v>96</v>
      </c>
      <c r="D10" s="4" t="s">
        <v>1</v>
      </c>
      <c r="E10" s="7">
        <v>100</v>
      </c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08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7">
        <f t="shared" si="0"/>
        <v>100</v>
      </c>
    </row>
    <row r="11" spans="1:38">
      <c r="A11" s="18">
        <v>9</v>
      </c>
      <c r="B11" s="59" t="s">
        <v>104</v>
      </c>
      <c r="C11" s="57" t="s">
        <v>96</v>
      </c>
      <c r="D11" s="4" t="s">
        <v>1</v>
      </c>
      <c r="E11" s="7">
        <v>150</v>
      </c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08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  <c r="AK11" s="137"/>
      <c r="AL11" s="7">
        <f t="shared" si="0"/>
        <v>150</v>
      </c>
    </row>
    <row r="12" spans="1:38">
      <c r="A12" s="18">
        <v>10</v>
      </c>
      <c r="B12" s="57" t="s">
        <v>91</v>
      </c>
      <c r="C12" s="3" t="s">
        <v>96</v>
      </c>
      <c r="D12" s="3" t="s">
        <v>1</v>
      </c>
      <c r="E12" s="7">
        <v>100</v>
      </c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08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  <c r="AK12" s="137"/>
      <c r="AL12" s="7">
        <f t="shared" si="0"/>
        <v>100</v>
      </c>
    </row>
    <row r="13" spans="1:38">
      <c r="A13" s="18">
        <v>11</v>
      </c>
      <c r="B13" s="57" t="s">
        <v>92</v>
      </c>
      <c r="C13" s="57" t="s">
        <v>96</v>
      </c>
      <c r="D13" s="4" t="s">
        <v>1</v>
      </c>
      <c r="E13" s="7">
        <v>150</v>
      </c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08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  <c r="AK13" s="137"/>
      <c r="AL13" s="7">
        <f t="shared" si="0"/>
        <v>150</v>
      </c>
    </row>
    <row r="14" spans="1:38">
      <c r="A14" s="18">
        <v>12</v>
      </c>
      <c r="B14" s="3" t="s">
        <v>93</v>
      </c>
      <c r="C14" s="3" t="s">
        <v>96</v>
      </c>
      <c r="D14" s="3" t="s">
        <v>1</v>
      </c>
      <c r="E14" s="7">
        <v>300</v>
      </c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08"/>
      <c r="S14" s="137"/>
      <c r="T14" s="137"/>
      <c r="U14" s="137"/>
      <c r="V14" s="137">
        <v>25</v>
      </c>
      <c r="W14" s="108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>
        <v>25</v>
      </c>
      <c r="AJ14" s="137">
        <v>25</v>
      </c>
      <c r="AK14" s="137"/>
      <c r="AL14" s="7">
        <f t="shared" si="0"/>
        <v>225</v>
      </c>
    </row>
    <row r="15" spans="1:38">
      <c r="A15" s="18">
        <v>13</v>
      </c>
      <c r="B15" s="3" t="s">
        <v>111</v>
      </c>
      <c r="C15" s="3" t="s">
        <v>102</v>
      </c>
      <c r="D15" s="3" t="s">
        <v>1</v>
      </c>
      <c r="E15" s="7">
        <v>75</v>
      </c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08"/>
      <c r="X15" s="137"/>
      <c r="Y15" s="137"/>
      <c r="Z15" s="137">
        <v>25</v>
      </c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7">
        <f t="shared" si="0"/>
        <v>50</v>
      </c>
    </row>
    <row r="16" spans="1:38">
      <c r="A16" s="18">
        <v>14</v>
      </c>
      <c r="B16" s="3" t="s">
        <v>135</v>
      </c>
      <c r="C16" s="3" t="s">
        <v>96</v>
      </c>
      <c r="D16" s="3" t="s">
        <v>1</v>
      </c>
      <c r="E16" s="7">
        <v>25</v>
      </c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7">
        <f t="shared" si="0"/>
        <v>25</v>
      </c>
    </row>
    <row r="17" spans="1:38">
      <c r="A17" s="18">
        <v>15</v>
      </c>
      <c r="B17" s="3" t="s">
        <v>136</v>
      </c>
      <c r="C17" s="3" t="s">
        <v>96</v>
      </c>
      <c r="D17" s="3" t="s">
        <v>1</v>
      </c>
      <c r="E17" s="7">
        <v>100</v>
      </c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7">
        <f t="shared" si="0"/>
        <v>100</v>
      </c>
    </row>
    <row r="18" spans="1:38">
      <c r="A18" s="18">
        <v>16</v>
      </c>
      <c r="B18" s="3">
        <v>1544</v>
      </c>
      <c r="C18" s="3" t="s">
        <v>96</v>
      </c>
      <c r="D18" s="3" t="s">
        <v>1</v>
      </c>
      <c r="E18" s="7">
        <v>99</v>
      </c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7">
        <f t="shared" si="0"/>
        <v>99</v>
      </c>
    </row>
    <row r="19" spans="1:38">
      <c r="A19" s="18">
        <v>17</v>
      </c>
      <c r="B19" s="3">
        <v>1423</v>
      </c>
      <c r="C19" s="3" t="s">
        <v>96</v>
      </c>
      <c r="D19" s="3" t="s">
        <v>1</v>
      </c>
      <c r="E19" s="7">
        <v>93</v>
      </c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7">
        <f t="shared" si="0"/>
        <v>93</v>
      </c>
    </row>
    <row r="20" spans="1:38">
      <c r="A20" s="18">
        <v>18</v>
      </c>
      <c r="B20" s="3" t="s">
        <v>146</v>
      </c>
      <c r="C20" s="126" t="s">
        <v>101</v>
      </c>
      <c r="D20" s="3" t="s">
        <v>1</v>
      </c>
      <c r="E20" s="7">
        <v>50</v>
      </c>
      <c r="F20" s="137"/>
      <c r="G20" s="108"/>
      <c r="H20" s="137"/>
      <c r="I20" s="137"/>
      <c r="J20" s="137"/>
      <c r="K20" s="137"/>
      <c r="L20" s="137"/>
      <c r="M20" s="137"/>
      <c r="N20" s="137"/>
      <c r="O20" s="108"/>
      <c r="P20" s="137"/>
      <c r="Q20" s="137"/>
      <c r="R20" s="137"/>
      <c r="S20" s="137"/>
      <c r="T20" s="137"/>
      <c r="U20" s="137"/>
      <c r="V20" s="108"/>
      <c r="W20" s="137"/>
      <c r="X20" s="137"/>
      <c r="Y20" s="137"/>
      <c r="Z20" s="137"/>
      <c r="AA20" s="137"/>
      <c r="AB20" s="137"/>
      <c r="AC20" s="137"/>
      <c r="AD20" s="137"/>
      <c r="AE20" s="108"/>
      <c r="AF20" s="137"/>
      <c r="AG20" s="137"/>
      <c r="AH20" s="137"/>
      <c r="AI20" s="137"/>
      <c r="AJ20" s="137"/>
      <c r="AK20" s="137"/>
      <c r="AL20" s="7">
        <f t="shared" si="0"/>
        <v>50</v>
      </c>
    </row>
    <row r="21" spans="1:38">
      <c r="A21" s="63">
        <v>19</v>
      </c>
      <c r="B21" s="90" t="s">
        <v>147</v>
      </c>
      <c r="C21" s="129" t="s">
        <v>156</v>
      </c>
      <c r="D21" s="90" t="s">
        <v>1</v>
      </c>
      <c r="E21" s="130">
        <v>25</v>
      </c>
      <c r="F21" s="137"/>
      <c r="G21" s="137"/>
      <c r="H21" s="137"/>
      <c r="I21" s="137"/>
      <c r="J21" s="137"/>
      <c r="K21" s="137"/>
      <c r="L21" s="137"/>
      <c r="M21" s="137"/>
      <c r="N21" s="137"/>
      <c r="O21" s="108"/>
      <c r="P21" s="137"/>
      <c r="Q21" s="137"/>
      <c r="R21" s="137"/>
      <c r="S21" s="137"/>
      <c r="T21" s="137"/>
      <c r="U21" s="137"/>
      <c r="V21" s="108"/>
      <c r="W21" s="137"/>
      <c r="X21" s="137"/>
      <c r="Y21" s="137"/>
      <c r="Z21" s="137"/>
      <c r="AA21" s="137"/>
      <c r="AB21" s="137"/>
      <c r="AC21" s="137"/>
      <c r="AD21" s="137"/>
      <c r="AE21" s="108"/>
      <c r="AF21" s="137"/>
      <c r="AG21" s="137"/>
      <c r="AH21" s="137"/>
      <c r="AI21" s="137"/>
      <c r="AJ21" s="137"/>
      <c r="AK21" s="137"/>
      <c r="AL21" s="7">
        <f t="shared" si="0"/>
        <v>25</v>
      </c>
    </row>
    <row r="22" spans="1:38">
      <c r="A22" s="63">
        <v>20</v>
      </c>
      <c r="B22" s="90" t="s">
        <v>171</v>
      </c>
      <c r="C22" s="144" t="s">
        <v>96</v>
      </c>
      <c r="D22" s="90" t="s">
        <v>1</v>
      </c>
      <c r="E22" s="130">
        <v>250</v>
      </c>
      <c r="F22" s="137"/>
      <c r="G22" s="137"/>
      <c r="H22" s="137"/>
      <c r="I22" s="137"/>
      <c r="J22" s="137"/>
      <c r="K22" s="137"/>
      <c r="L22" s="137"/>
      <c r="M22" s="137"/>
      <c r="N22" s="108"/>
      <c r="O22" s="108"/>
      <c r="P22" s="137"/>
      <c r="Q22" s="137"/>
      <c r="R22" s="137"/>
      <c r="S22" s="137"/>
      <c r="T22" s="137"/>
      <c r="U22" s="137"/>
      <c r="V22" s="108"/>
      <c r="W22" s="137"/>
      <c r="X22" s="137"/>
      <c r="Y22" s="137"/>
      <c r="Z22" s="137"/>
      <c r="AA22" s="137"/>
      <c r="AB22" s="137"/>
      <c r="AC22" s="137"/>
      <c r="AD22" s="137"/>
      <c r="AE22" s="108"/>
      <c r="AF22" s="137"/>
      <c r="AG22" s="137"/>
      <c r="AH22" s="137"/>
      <c r="AI22" s="137"/>
      <c r="AJ22" s="137"/>
      <c r="AK22" s="137"/>
      <c r="AL22" s="7">
        <f t="shared" si="0"/>
        <v>250</v>
      </c>
    </row>
    <row r="23" spans="1:38">
      <c r="A23" s="18">
        <v>21</v>
      </c>
      <c r="B23" s="3" t="s">
        <v>160</v>
      </c>
      <c r="C23" s="3"/>
      <c r="D23" s="3" t="s">
        <v>1</v>
      </c>
      <c r="E23" s="7">
        <v>0</v>
      </c>
      <c r="F23" s="137"/>
      <c r="G23" s="137"/>
      <c r="H23" s="137"/>
      <c r="I23" s="137"/>
      <c r="J23" s="137"/>
      <c r="K23" s="137"/>
      <c r="L23" s="137"/>
      <c r="M23" s="149">
        <v>25</v>
      </c>
      <c r="N23" s="137">
        <v>25</v>
      </c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08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  <c r="AK23" s="137"/>
      <c r="AL23" s="7">
        <f t="shared" si="0"/>
        <v>0</v>
      </c>
    </row>
    <row r="24" spans="1:38">
      <c r="A24" s="18">
        <v>22</v>
      </c>
      <c r="B24" s="3">
        <v>8801</v>
      </c>
      <c r="C24" s="145" t="s">
        <v>96</v>
      </c>
      <c r="D24" s="3" t="s">
        <v>1</v>
      </c>
      <c r="E24" s="7">
        <v>0</v>
      </c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08"/>
      <c r="W24" s="137"/>
      <c r="X24" s="137"/>
      <c r="Y24" s="108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  <c r="AK24" s="137"/>
      <c r="AL24" s="7">
        <f t="shared" si="0"/>
        <v>0</v>
      </c>
    </row>
    <row r="26" spans="1:38" ht="30">
      <c r="A26" s="5" t="s">
        <v>57</v>
      </c>
      <c r="B26" s="5" t="s">
        <v>56</v>
      </c>
      <c r="C26" s="5" t="s">
        <v>69</v>
      </c>
      <c r="D26" s="5" t="s">
        <v>68</v>
      </c>
    </row>
    <row r="27" spans="1:38">
      <c r="A27" s="18">
        <v>1</v>
      </c>
      <c r="B27" s="57" t="s">
        <v>84</v>
      </c>
      <c r="C27" s="18">
        <f t="shared" ref="C27:C48" si="1">AL3</f>
        <v>350</v>
      </c>
      <c r="D27" s="50">
        <v>200</v>
      </c>
    </row>
    <row r="28" spans="1:38">
      <c r="A28" s="18">
        <v>2</v>
      </c>
      <c r="B28" s="57" t="s">
        <v>97</v>
      </c>
      <c r="C28" s="18">
        <f t="shared" si="1"/>
        <v>175</v>
      </c>
      <c r="D28" s="50">
        <v>100</v>
      </c>
    </row>
    <row r="29" spans="1:38">
      <c r="A29" s="18">
        <v>3</v>
      </c>
      <c r="B29" s="57" t="s">
        <v>85</v>
      </c>
      <c r="C29" s="18">
        <f t="shared" si="1"/>
        <v>250</v>
      </c>
      <c r="D29" s="50">
        <v>200</v>
      </c>
    </row>
    <row r="30" spans="1:38">
      <c r="A30" s="18">
        <v>4</v>
      </c>
      <c r="B30" s="57" t="s">
        <v>99</v>
      </c>
      <c r="C30" s="18">
        <f t="shared" si="1"/>
        <v>375</v>
      </c>
      <c r="D30" s="50">
        <v>200</v>
      </c>
    </row>
    <row r="31" spans="1:38">
      <c r="A31" s="18">
        <v>5</v>
      </c>
      <c r="B31" s="57" t="s">
        <v>86</v>
      </c>
      <c r="C31" s="18">
        <f t="shared" si="1"/>
        <v>75</v>
      </c>
      <c r="D31" s="50">
        <v>100</v>
      </c>
    </row>
    <row r="32" spans="1:38">
      <c r="A32" s="18">
        <v>6</v>
      </c>
      <c r="B32" s="57" t="s">
        <v>87</v>
      </c>
      <c r="C32" s="18">
        <f t="shared" si="1"/>
        <v>100</v>
      </c>
      <c r="D32" s="50">
        <v>25</v>
      </c>
    </row>
    <row r="33" spans="1:4">
      <c r="A33" s="18">
        <v>7</v>
      </c>
      <c r="B33" s="57" t="s">
        <v>88</v>
      </c>
      <c r="C33" s="18">
        <f t="shared" si="1"/>
        <v>225</v>
      </c>
      <c r="D33" s="50">
        <v>200</v>
      </c>
    </row>
    <row r="34" spans="1:4">
      <c r="A34" s="18">
        <v>8</v>
      </c>
      <c r="B34" s="57" t="s">
        <v>89</v>
      </c>
      <c r="C34" s="18">
        <f t="shared" si="1"/>
        <v>100</v>
      </c>
      <c r="D34" s="50">
        <v>200</v>
      </c>
    </row>
    <row r="35" spans="1:4">
      <c r="A35" s="18">
        <v>9</v>
      </c>
      <c r="B35" s="59" t="s">
        <v>104</v>
      </c>
      <c r="C35" s="18">
        <f t="shared" si="1"/>
        <v>150</v>
      </c>
      <c r="D35" s="50">
        <v>100</v>
      </c>
    </row>
    <row r="36" spans="1:4">
      <c r="A36" s="18">
        <v>10</v>
      </c>
      <c r="B36" s="57" t="s">
        <v>91</v>
      </c>
      <c r="C36" s="18">
        <f t="shared" si="1"/>
        <v>100</v>
      </c>
      <c r="D36" s="50">
        <v>0</v>
      </c>
    </row>
    <row r="37" spans="1:4">
      <c r="A37" s="18">
        <v>11</v>
      </c>
      <c r="B37" s="57" t="s">
        <v>92</v>
      </c>
      <c r="C37" s="18">
        <f t="shared" si="1"/>
        <v>150</v>
      </c>
      <c r="D37" s="50">
        <v>100</v>
      </c>
    </row>
    <row r="38" spans="1:4">
      <c r="A38" s="18">
        <v>12</v>
      </c>
      <c r="B38" s="3" t="s">
        <v>93</v>
      </c>
      <c r="C38" s="18">
        <f t="shared" si="1"/>
        <v>225</v>
      </c>
      <c r="D38" s="50">
        <v>100</v>
      </c>
    </row>
    <row r="39" spans="1:4">
      <c r="A39" s="18">
        <v>13</v>
      </c>
      <c r="B39" s="3" t="s">
        <v>111</v>
      </c>
      <c r="C39" s="18">
        <f t="shared" si="1"/>
        <v>50</v>
      </c>
      <c r="D39" s="50">
        <v>25</v>
      </c>
    </row>
    <row r="40" spans="1:4">
      <c r="A40" s="18">
        <v>14</v>
      </c>
      <c r="B40" s="3" t="s">
        <v>135</v>
      </c>
      <c r="C40" s="18">
        <f t="shared" si="1"/>
        <v>25</v>
      </c>
      <c r="D40" s="50">
        <v>25</v>
      </c>
    </row>
    <row r="41" spans="1:4">
      <c r="A41" s="18">
        <v>15</v>
      </c>
      <c r="B41" s="3" t="s">
        <v>136</v>
      </c>
      <c r="C41" s="18">
        <f t="shared" si="1"/>
        <v>100</v>
      </c>
      <c r="D41" s="50">
        <v>75</v>
      </c>
    </row>
    <row r="42" spans="1:4">
      <c r="A42" s="18">
        <v>16</v>
      </c>
      <c r="B42" s="3">
        <v>1544</v>
      </c>
      <c r="C42" s="18">
        <f t="shared" si="1"/>
        <v>99</v>
      </c>
    </row>
    <row r="43" spans="1:4">
      <c r="A43" s="18">
        <v>17</v>
      </c>
      <c r="B43" s="3">
        <v>1423</v>
      </c>
      <c r="C43" s="18">
        <f t="shared" si="1"/>
        <v>93</v>
      </c>
    </row>
    <row r="44" spans="1:4">
      <c r="A44" s="18">
        <v>18</v>
      </c>
      <c r="B44" s="3" t="s">
        <v>146</v>
      </c>
      <c r="C44" s="18">
        <f t="shared" si="1"/>
        <v>50</v>
      </c>
    </row>
    <row r="45" spans="1:4">
      <c r="A45" s="18">
        <v>19</v>
      </c>
      <c r="B45" s="3" t="s">
        <v>147</v>
      </c>
      <c r="C45" s="18">
        <f t="shared" si="1"/>
        <v>25</v>
      </c>
    </row>
    <row r="46" spans="1:4">
      <c r="A46" s="63">
        <v>20</v>
      </c>
      <c r="B46" s="90" t="s">
        <v>171</v>
      </c>
      <c r="C46" s="18">
        <f t="shared" si="1"/>
        <v>250</v>
      </c>
    </row>
    <row r="47" spans="1:4">
      <c r="A47" s="18">
        <v>21</v>
      </c>
      <c r="B47" s="3" t="s">
        <v>160</v>
      </c>
      <c r="C47" s="18">
        <f t="shared" si="1"/>
        <v>0</v>
      </c>
    </row>
    <row r="48" spans="1:4">
      <c r="A48" s="18">
        <v>22</v>
      </c>
      <c r="B48" s="3">
        <v>8801</v>
      </c>
      <c r="C48" s="18">
        <f t="shared" si="1"/>
        <v>0</v>
      </c>
    </row>
  </sheetData>
  <mergeCells count="1">
    <mergeCell ref="A1:E1"/>
  </mergeCells>
  <conditionalFormatting sqref="C27:C48">
    <cfRule type="expression" dxfId="5" priority="1">
      <formula>$D27&gt;$C27</formula>
    </cfRule>
  </conditionalFormatting>
  <pageMargins left="0.70866141732283472" right="0.70866141732283472" top="0.74803149606299213" bottom="0.74803149606299213" header="0.31496062992125984" footer="0.31496062992125984"/>
  <pageSetup scale="14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L41"/>
  <sheetViews>
    <sheetView zoomScaleNormal="10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B3" sqref="B3:B20"/>
    </sheetView>
  </sheetViews>
  <sheetFormatPr defaultColWidth="9" defaultRowHeight="15"/>
  <cols>
    <col min="1" max="1" width="9" style="2"/>
    <col min="2" max="2" width="33.5703125" style="2" customWidth="1"/>
    <col min="3" max="3" width="15" style="2" customWidth="1"/>
    <col min="4" max="4" width="17" style="2" bestFit="1" customWidth="1"/>
    <col min="5" max="5" width="9" style="2"/>
    <col min="6" max="6" width="11.140625" style="2" customWidth="1"/>
    <col min="7" max="8" width="10.85546875" style="2" customWidth="1"/>
    <col min="9" max="9" width="10.42578125" style="2" bestFit="1" customWidth="1"/>
    <col min="10" max="15" width="10.42578125" style="2" customWidth="1"/>
    <col min="16" max="16" width="11.140625" style="2" customWidth="1"/>
    <col min="17" max="17" width="10.28515625" style="2" customWidth="1"/>
    <col min="18" max="18" width="11.140625" style="2" customWidth="1"/>
    <col min="19" max="20" width="10.28515625" style="2" customWidth="1"/>
    <col min="21" max="23" width="11.140625" style="2" customWidth="1"/>
    <col min="24" max="27" width="11.140625" style="2" hidden="1" customWidth="1"/>
    <col min="28" max="28" width="10.28515625" style="2" hidden="1" customWidth="1"/>
    <col min="29" max="37" width="11.140625" style="2" hidden="1" customWidth="1"/>
    <col min="38" max="38" width="9" style="2"/>
  </cols>
  <sheetData>
    <row r="1" spans="1:38" ht="30.75">
      <c r="A1" s="231" t="s">
        <v>66</v>
      </c>
      <c r="B1" s="231"/>
      <c r="C1" s="231"/>
      <c r="D1" s="231"/>
      <c r="E1" s="231"/>
      <c r="F1" s="38"/>
      <c r="G1" s="38"/>
      <c r="H1" s="38"/>
      <c r="I1" s="38"/>
      <c r="J1" s="38"/>
      <c r="K1" s="117"/>
      <c r="L1" s="117"/>
      <c r="M1" s="117"/>
      <c r="N1" s="117"/>
      <c r="O1" s="117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154"/>
    </row>
    <row r="2" spans="1:38" s="1" customFormat="1" ht="32.25" customHeight="1">
      <c r="A2" s="5" t="s">
        <v>57</v>
      </c>
      <c r="B2" s="5" t="s">
        <v>56</v>
      </c>
      <c r="C2" s="5" t="s">
        <v>55</v>
      </c>
      <c r="D2" s="5" t="s">
        <v>54</v>
      </c>
      <c r="E2" s="84" t="s">
        <v>183</v>
      </c>
      <c r="F2" s="105">
        <v>46054</v>
      </c>
      <c r="G2" s="105">
        <v>46055</v>
      </c>
      <c r="H2" s="86" t="s">
        <v>195</v>
      </c>
      <c r="I2" s="105">
        <v>46056</v>
      </c>
      <c r="J2" s="105">
        <v>46057</v>
      </c>
      <c r="K2" s="86" t="s">
        <v>196</v>
      </c>
      <c r="L2" s="105">
        <v>46058</v>
      </c>
      <c r="M2" s="86" t="s">
        <v>197</v>
      </c>
      <c r="N2" s="105">
        <v>46059</v>
      </c>
      <c r="O2" s="86" t="s">
        <v>198</v>
      </c>
      <c r="P2" s="105">
        <v>46060</v>
      </c>
      <c r="Q2" s="105">
        <v>46061</v>
      </c>
      <c r="R2" s="105">
        <v>46062</v>
      </c>
      <c r="S2" s="105">
        <v>46063</v>
      </c>
      <c r="T2" s="105">
        <v>46064</v>
      </c>
      <c r="U2" s="105">
        <v>46065</v>
      </c>
      <c r="V2" s="105">
        <v>46066</v>
      </c>
      <c r="W2" s="105">
        <v>46067</v>
      </c>
      <c r="X2" s="105">
        <v>46068</v>
      </c>
      <c r="Y2" s="105">
        <v>46069</v>
      </c>
      <c r="Z2" s="105">
        <v>46070</v>
      </c>
      <c r="AA2" s="105">
        <v>46071</v>
      </c>
      <c r="AB2" s="105">
        <v>46072</v>
      </c>
      <c r="AC2" s="105">
        <v>46073</v>
      </c>
      <c r="AD2" s="105">
        <v>46074</v>
      </c>
      <c r="AE2" s="105">
        <v>46075</v>
      </c>
      <c r="AF2" s="105">
        <v>46076</v>
      </c>
      <c r="AG2" s="105">
        <v>46077</v>
      </c>
      <c r="AH2" s="105">
        <v>46078</v>
      </c>
      <c r="AI2" s="105">
        <v>46079</v>
      </c>
      <c r="AJ2" s="105">
        <v>46080</v>
      </c>
      <c r="AK2" s="105">
        <v>46081</v>
      </c>
      <c r="AL2" s="5" t="s">
        <v>5</v>
      </c>
    </row>
    <row r="3" spans="1:38" ht="15.75" thickBot="1">
      <c r="A3" s="18">
        <v>1</v>
      </c>
      <c r="B3" s="157" t="s">
        <v>32</v>
      </c>
      <c r="C3" s="18" t="s">
        <v>0</v>
      </c>
      <c r="D3" s="18" t="s">
        <v>1</v>
      </c>
      <c r="E3" s="7">
        <v>13450</v>
      </c>
      <c r="F3" s="66"/>
      <c r="G3" s="66"/>
      <c r="H3" s="66"/>
      <c r="I3" s="66">
        <v>125</v>
      </c>
      <c r="J3" s="66"/>
      <c r="K3" s="66"/>
      <c r="L3" s="66">
        <v>500</v>
      </c>
      <c r="M3" s="66"/>
      <c r="N3" s="66">
        <v>8025</v>
      </c>
      <c r="O3" s="66"/>
      <c r="P3" s="66">
        <v>800</v>
      </c>
      <c r="Q3" s="66"/>
      <c r="R3" s="66">
        <v>375</v>
      </c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151"/>
      <c r="AI3" s="66"/>
      <c r="AJ3" s="66"/>
      <c r="AK3" s="66"/>
      <c r="AL3" s="7">
        <f>E3-F3-G3+H3-I3-J3+K3-L3+M3-N3+O3-P3-Q3-R3-S3-T3-U3-V3-W3-X3-Y3-Z3-AA3-AB3-AC3-AD3-AE3-AF3-AG3-AH3-AI3-AJ3-AK3</f>
        <v>3625</v>
      </c>
    </row>
    <row r="4" spans="1:38" ht="15.75" thickBot="1">
      <c r="A4" s="18">
        <v>2</v>
      </c>
      <c r="B4" s="157" t="s">
        <v>26</v>
      </c>
      <c r="C4" s="18" t="s">
        <v>0</v>
      </c>
      <c r="D4" s="18" t="s">
        <v>1</v>
      </c>
      <c r="E4" s="7">
        <v>75</v>
      </c>
      <c r="F4" s="66"/>
      <c r="G4" s="66"/>
      <c r="H4" s="66"/>
      <c r="I4" s="66"/>
      <c r="J4" s="66"/>
      <c r="K4" s="66"/>
      <c r="L4" s="66"/>
      <c r="M4" s="153">
        <v>2000</v>
      </c>
      <c r="N4" s="66">
        <v>50</v>
      </c>
      <c r="O4" s="66"/>
      <c r="P4" s="66">
        <v>25</v>
      </c>
      <c r="Q4" s="66"/>
      <c r="R4" s="66">
        <v>250</v>
      </c>
      <c r="S4" s="66"/>
      <c r="T4" s="150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151"/>
      <c r="AI4" s="66"/>
      <c r="AJ4" s="66"/>
      <c r="AK4" s="66"/>
      <c r="AL4" s="7">
        <f t="shared" ref="AL4:AL20" si="0">E4-F4-G4+H4-I4-J4+K4-L4+M4-N4+O4-P4-Q4-R4-S4-T4-U4-V4-W4-X4-Y4-Z4-AA4-AB4-AC4-AD4-AE4-AF4-AG4-AH4-AI4-AJ4-AK4</f>
        <v>1750</v>
      </c>
    </row>
    <row r="5" spans="1:38" ht="15.75" thickBot="1">
      <c r="A5" s="18">
        <v>3</v>
      </c>
      <c r="B5" s="66" t="s">
        <v>27</v>
      </c>
      <c r="C5" s="18" t="s">
        <v>0</v>
      </c>
      <c r="D5" s="18" t="s">
        <v>1</v>
      </c>
      <c r="E5" s="7">
        <v>850</v>
      </c>
      <c r="F5" s="66"/>
      <c r="G5" s="66">
        <v>350</v>
      </c>
      <c r="H5" s="66"/>
      <c r="I5" s="66"/>
      <c r="J5" s="66"/>
      <c r="K5" s="153">
        <v>1000</v>
      </c>
      <c r="L5" s="66"/>
      <c r="M5" s="66"/>
      <c r="N5" s="66"/>
      <c r="O5" s="66"/>
      <c r="P5" s="66">
        <v>75</v>
      </c>
      <c r="Q5" s="66"/>
      <c r="R5" s="66"/>
      <c r="S5" s="66"/>
      <c r="T5" s="150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151"/>
      <c r="AI5" s="66"/>
      <c r="AJ5" s="66"/>
      <c r="AK5" s="66"/>
      <c r="AL5" s="7">
        <f t="shared" si="0"/>
        <v>1425</v>
      </c>
    </row>
    <row r="6" spans="1:38" ht="15.75" thickBot="1">
      <c r="A6" s="18">
        <v>4</v>
      </c>
      <c r="B6" s="157" t="s">
        <v>28</v>
      </c>
      <c r="C6" s="18" t="s">
        <v>0</v>
      </c>
      <c r="D6" s="18" t="s">
        <v>1</v>
      </c>
      <c r="E6" s="7">
        <v>1525</v>
      </c>
      <c r="F6" s="66"/>
      <c r="G6" s="66"/>
      <c r="H6" s="66"/>
      <c r="I6" s="66">
        <v>150</v>
      </c>
      <c r="J6" s="66">
        <v>675</v>
      </c>
      <c r="K6" s="66"/>
      <c r="L6" s="66">
        <v>700</v>
      </c>
      <c r="M6" s="66"/>
      <c r="N6" s="66"/>
      <c r="O6" s="153">
        <v>5000</v>
      </c>
      <c r="P6" s="66"/>
      <c r="Q6" s="66"/>
      <c r="R6" s="66">
        <v>250</v>
      </c>
      <c r="S6" s="66"/>
      <c r="T6" s="150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151"/>
      <c r="AI6" s="66"/>
      <c r="AJ6" s="66"/>
      <c r="AK6" s="66"/>
      <c r="AL6" s="7">
        <f t="shared" si="0"/>
        <v>4750</v>
      </c>
    </row>
    <row r="7" spans="1:38" ht="15.75" thickBot="1">
      <c r="A7" s="18">
        <v>5</v>
      </c>
      <c r="B7" s="18" t="s">
        <v>106</v>
      </c>
      <c r="C7" s="18" t="s">
        <v>2</v>
      </c>
      <c r="D7" s="18" t="s">
        <v>1</v>
      </c>
      <c r="E7" s="7">
        <v>125</v>
      </c>
      <c r="F7" s="66"/>
      <c r="G7" s="66">
        <v>125</v>
      </c>
      <c r="H7" s="153">
        <v>1200</v>
      </c>
      <c r="I7" s="66"/>
      <c r="J7" s="66"/>
      <c r="K7" s="66"/>
      <c r="L7" s="66"/>
      <c r="M7" s="66"/>
      <c r="N7" s="66">
        <v>100</v>
      </c>
      <c r="O7" s="66"/>
      <c r="P7" s="66"/>
      <c r="Q7" s="66"/>
      <c r="R7" s="66"/>
      <c r="S7" s="66"/>
      <c r="T7" s="150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151"/>
      <c r="AI7" s="66"/>
      <c r="AJ7" s="66"/>
      <c r="AK7" s="66"/>
      <c r="AL7" s="7">
        <f t="shared" si="0"/>
        <v>1100</v>
      </c>
    </row>
    <row r="8" spans="1:38">
      <c r="A8" s="18">
        <v>6</v>
      </c>
      <c r="B8" s="18" t="s">
        <v>30</v>
      </c>
      <c r="C8" s="18" t="s">
        <v>2</v>
      </c>
      <c r="D8" s="18" t="s">
        <v>1</v>
      </c>
      <c r="E8" s="7">
        <v>5250</v>
      </c>
      <c r="F8" s="66"/>
      <c r="G8" s="66">
        <v>450</v>
      </c>
      <c r="H8" s="66"/>
      <c r="I8" s="66">
        <v>700</v>
      </c>
      <c r="J8" s="66">
        <v>625</v>
      </c>
      <c r="K8" s="66"/>
      <c r="L8" s="66"/>
      <c r="M8" s="66"/>
      <c r="N8" s="66"/>
      <c r="O8" s="66"/>
      <c r="P8" s="66">
        <v>225</v>
      </c>
      <c r="Q8" s="66"/>
      <c r="R8" s="66">
        <v>625</v>
      </c>
      <c r="S8" s="66">
        <v>750</v>
      </c>
      <c r="T8" s="150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151"/>
      <c r="AI8" s="66"/>
      <c r="AJ8" s="66"/>
      <c r="AK8" s="66"/>
      <c r="AL8" s="7">
        <f t="shared" si="0"/>
        <v>1875</v>
      </c>
    </row>
    <row r="9" spans="1:38">
      <c r="A9" s="18">
        <v>7</v>
      </c>
      <c r="B9" s="18" t="s">
        <v>166</v>
      </c>
      <c r="C9" s="18" t="s">
        <v>2</v>
      </c>
      <c r="D9" s="18" t="s">
        <v>1</v>
      </c>
      <c r="E9" s="7">
        <v>1000</v>
      </c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150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151"/>
      <c r="AI9" s="66"/>
      <c r="AJ9" s="66"/>
      <c r="AK9" s="66"/>
      <c r="AL9" s="7">
        <f t="shared" si="0"/>
        <v>1000</v>
      </c>
    </row>
    <row r="10" spans="1:38">
      <c r="A10" s="18">
        <v>8</v>
      </c>
      <c r="B10" s="157" t="s">
        <v>31</v>
      </c>
      <c r="C10" s="18" t="s">
        <v>2</v>
      </c>
      <c r="D10" s="18" t="s">
        <v>1</v>
      </c>
      <c r="E10" s="7">
        <v>400</v>
      </c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150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151"/>
      <c r="AI10" s="66"/>
      <c r="AJ10" s="66"/>
      <c r="AK10" s="66"/>
      <c r="AL10" s="7">
        <f t="shared" si="0"/>
        <v>400</v>
      </c>
    </row>
    <row r="11" spans="1:38" ht="15.75" thickBot="1">
      <c r="A11" s="18">
        <v>9</v>
      </c>
      <c r="B11" s="157" t="s">
        <v>33</v>
      </c>
      <c r="C11" s="18" t="s">
        <v>2</v>
      </c>
      <c r="D11" s="18" t="s">
        <v>1</v>
      </c>
      <c r="E11" s="7">
        <v>4650</v>
      </c>
      <c r="F11" s="66"/>
      <c r="G11" s="66">
        <v>500</v>
      </c>
      <c r="H11" s="66"/>
      <c r="I11" s="66">
        <v>1050</v>
      </c>
      <c r="J11" s="66">
        <v>175</v>
      </c>
      <c r="K11" s="66"/>
      <c r="L11" s="66">
        <v>400</v>
      </c>
      <c r="M11" s="66"/>
      <c r="N11" s="66">
        <v>700</v>
      </c>
      <c r="O11" s="66"/>
      <c r="P11" s="66">
        <v>750</v>
      </c>
      <c r="Q11" s="66"/>
      <c r="R11" s="66"/>
      <c r="S11" s="66"/>
      <c r="T11" s="150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151"/>
      <c r="AI11" s="66"/>
      <c r="AJ11" s="66"/>
      <c r="AK11" s="66"/>
      <c r="AL11" s="7">
        <f t="shared" si="0"/>
        <v>1075</v>
      </c>
    </row>
    <row r="12" spans="1:38" ht="15.75" thickBot="1">
      <c r="A12" s="18">
        <v>10</v>
      </c>
      <c r="B12" s="157" t="s">
        <v>34</v>
      </c>
      <c r="C12" s="18" t="s">
        <v>2</v>
      </c>
      <c r="D12" s="18" t="s">
        <v>1</v>
      </c>
      <c r="E12" s="7">
        <v>0</v>
      </c>
      <c r="F12" s="66"/>
      <c r="G12" s="66"/>
      <c r="H12" s="153">
        <v>5000</v>
      </c>
      <c r="I12" s="66">
        <v>1000</v>
      </c>
      <c r="J12" s="66"/>
      <c r="K12" s="66"/>
      <c r="L12" s="66">
        <v>500</v>
      </c>
      <c r="M12" s="66"/>
      <c r="N12" s="66">
        <v>500</v>
      </c>
      <c r="O12" s="66"/>
      <c r="P12" s="66">
        <v>250</v>
      </c>
      <c r="Q12" s="66"/>
      <c r="R12" s="66"/>
      <c r="S12" s="66"/>
      <c r="T12" s="150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151"/>
      <c r="AI12" s="66"/>
      <c r="AJ12" s="66"/>
      <c r="AK12" s="66"/>
      <c r="AL12" s="7">
        <f t="shared" si="0"/>
        <v>2750</v>
      </c>
    </row>
    <row r="13" spans="1:38">
      <c r="A13" s="18">
        <v>11</v>
      </c>
      <c r="B13" s="18" t="s">
        <v>74</v>
      </c>
      <c r="C13" s="18" t="s">
        <v>2</v>
      </c>
      <c r="D13" s="18" t="s">
        <v>1</v>
      </c>
      <c r="E13" s="7">
        <v>0</v>
      </c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150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151"/>
      <c r="AI13" s="66"/>
      <c r="AJ13" s="66"/>
      <c r="AK13" s="66"/>
      <c r="AL13" s="7">
        <f t="shared" si="0"/>
        <v>0</v>
      </c>
    </row>
    <row r="14" spans="1:38">
      <c r="A14" s="18">
        <v>12</v>
      </c>
      <c r="B14" s="18" t="s">
        <v>35</v>
      </c>
      <c r="C14" s="18" t="s">
        <v>3</v>
      </c>
      <c r="D14" s="18" t="s">
        <v>1</v>
      </c>
      <c r="E14" s="7">
        <v>7850</v>
      </c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>
        <v>175</v>
      </c>
      <c r="Q14" s="66"/>
      <c r="R14" s="66">
        <v>675</v>
      </c>
      <c r="S14" s="66">
        <v>650</v>
      </c>
      <c r="T14" s="150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151"/>
      <c r="AI14" s="66"/>
      <c r="AJ14" s="66"/>
      <c r="AK14" s="66"/>
      <c r="AL14" s="7">
        <f t="shared" si="0"/>
        <v>6350</v>
      </c>
    </row>
    <row r="15" spans="1:38">
      <c r="A15" s="18">
        <v>13</v>
      </c>
      <c r="B15" s="18" t="s">
        <v>36</v>
      </c>
      <c r="C15" s="18" t="s">
        <v>2</v>
      </c>
      <c r="D15" s="18" t="s">
        <v>1</v>
      </c>
      <c r="E15" s="7">
        <v>150</v>
      </c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150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151"/>
      <c r="AI15" s="66"/>
      <c r="AJ15" s="66"/>
      <c r="AK15" s="66"/>
      <c r="AL15" s="7">
        <f t="shared" si="0"/>
        <v>150</v>
      </c>
    </row>
    <row r="16" spans="1:38">
      <c r="A16" s="18">
        <v>14</v>
      </c>
      <c r="B16" s="18" t="s">
        <v>52</v>
      </c>
      <c r="C16" s="18" t="s">
        <v>37</v>
      </c>
      <c r="D16" s="18" t="s">
        <v>1</v>
      </c>
      <c r="E16" s="7">
        <v>350</v>
      </c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150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151"/>
      <c r="AI16" s="66"/>
      <c r="AJ16" s="66"/>
      <c r="AK16" s="66"/>
      <c r="AL16" s="7">
        <f t="shared" si="0"/>
        <v>350</v>
      </c>
    </row>
    <row r="17" spans="1:38">
      <c r="A17" s="18">
        <v>15</v>
      </c>
      <c r="B17" s="18" t="s">
        <v>184</v>
      </c>
      <c r="C17" s="18" t="s">
        <v>185</v>
      </c>
      <c r="D17" s="18" t="s">
        <v>1</v>
      </c>
      <c r="E17" s="7">
        <v>500</v>
      </c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150"/>
      <c r="U17" s="66"/>
      <c r="V17" s="66"/>
      <c r="W17" s="66"/>
      <c r="X17" s="66"/>
      <c r="Y17" s="66"/>
      <c r="Z17" s="66"/>
      <c r="AA17" s="66"/>
      <c r="AB17" s="66"/>
      <c r="AC17" s="151"/>
      <c r="AD17" s="66"/>
      <c r="AE17" s="66"/>
      <c r="AF17" s="66"/>
      <c r="AG17" s="66"/>
      <c r="AH17" s="66"/>
      <c r="AI17" s="66"/>
      <c r="AJ17" s="66"/>
      <c r="AK17" s="66"/>
      <c r="AL17" s="7">
        <f t="shared" si="0"/>
        <v>500</v>
      </c>
    </row>
    <row r="18" spans="1:38" ht="15.75" thickBot="1">
      <c r="A18" s="18">
        <v>16</v>
      </c>
      <c r="B18" s="119" t="s">
        <v>158</v>
      </c>
      <c r="C18" s="18" t="s">
        <v>2</v>
      </c>
      <c r="D18" s="18" t="s">
        <v>1</v>
      </c>
      <c r="E18" s="7">
        <v>0</v>
      </c>
      <c r="F18" s="66"/>
      <c r="G18" s="66"/>
      <c r="H18" s="152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150"/>
      <c r="U18" s="66"/>
      <c r="V18" s="66"/>
      <c r="W18" s="66"/>
      <c r="X18" s="66"/>
      <c r="Y18" s="66"/>
      <c r="Z18" s="66"/>
      <c r="AA18" s="66"/>
      <c r="AB18" s="66"/>
      <c r="AC18" s="151"/>
      <c r="AD18" s="66"/>
      <c r="AE18" s="66"/>
      <c r="AF18" s="66"/>
      <c r="AG18" s="66"/>
      <c r="AH18" s="66"/>
      <c r="AI18" s="66"/>
      <c r="AJ18" s="66"/>
      <c r="AK18" s="66"/>
      <c r="AL18" s="7">
        <f t="shared" si="0"/>
        <v>0</v>
      </c>
    </row>
    <row r="19" spans="1:38" ht="15.75" thickBot="1">
      <c r="A19" s="18">
        <v>17</v>
      </c>
      <c r="B19" s="158" t="s">
        <v>199</v>
      </c>
      <c r="C19" s="18" t="s">
        <v>2</v>
      </c>
      <c r="D19" s="18" t="s">
        <v>1</v>
      </c>
      <c r="E19" s="7"/>
      <c r="F19" s="66"/>
      <c r="G19" s="150"/>
      <c r="H19" s="66"/>
      <c r="I19" s="151"/>
      <c r="J19" s="66"/>
      <c r="K19" s="66"/>
      <c r="L19" s="66"/>
      <c r="M19" s="66"/>
      <c r="N19" s="66"/>
      <c r="O19" s="153">
        <v>5000</v>
      </c>
      <c r="P19" s="66"/>
      <c r="Q19" s="66"/>
      <c r="R19" s="66">
        <v>350</v>
      </c>
      <c r="S19" s="66">
        <v>125</v>
      </c>
      <c r="T19" s="150"/>
      <c r="U19" s="66"/>
      <c r="V19" s="66"/>
      <c r="W19" s="66"/>
      <c r="X19" s="66"/>
      <c r="Y19" s="66"/>
      <c r="Z19" s="66"/>
      <c r="AA19" s="66"/>
      <c r="AB19" s="66"/>
      <c r="AC19" s="151"/>
      <c r="AD19" s="66"/>
      <c r="AE19" s="66"/>
      <c r="AF19" s="66"/>
      <c r="AG19" s="66"/>
      <c r="AH19" s="66"/>
      <c r="AI19" s="66"/>
      <c r="AJ19" s="66"/>
      <c r="AK19" s="66"/>
      <c r="AL19" s="7">
        <f t="shared" si="0"/>
        <v>4525</v>
      </c>
    </row>
    <row r="20" spans="1:38" ht="15.75" thickBot="1">
      <c r="A20" s="18">
        <v>18</v>
      </c>
      <c r="B20" s="18" t="s">
        <v>179</v>
      </c>
      <c r="C20" s="18"/>
      <c r="D20" s="18" t="s">
        <v>1</v>
      </c>
      <c r="E20" s="7">
        <v>275</v>
      </c>
      <c r="F20" s="66"/>
      <c r="G20" s="150"/>
      <c r="H20" s="155">
        <v>300</v>
      </c>
      <c r="I20" s="151"/>
      <c r="J20" s="66">
        <v>300</v>
      </c>
      <c r="K20" s="66"/>
      <c r="L20" s="66"/>
      <c r="M20" s="66"/>
      <c r="N20" s="66">
        <v>50</v>
      </c>
      <c r="O20" s="153">
        <v>1000</v>
      </c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7">
        <f t="shared" si="0"/>
        <v>1225</v>
      </c>
    </row>
    <row r="21" spans="1:38" ht="15.75">
      <c r="A21" s="228"/>
      <c r="B21" s="229"/>
      <c r="C21" s="230"/>
      <c r="D21" s="16" t="s">
        <v>51</v>
      </c>
      <c r="E21" s="15">
        <f>SUM(E3:E18)</f>
        <v>36175</v>
      </c>
      <c r="F21" s="127">
        <f>SUM(F3:F17)</f>
        <v>0</v>
      </c>
      <c r="G21" s="127"/>
      <c r="H21" s="127"/>
      <c r="I21" s="127">
        <f>SUM(I3:I17)</f>
        <v>3025</v>
      </c>
      <c r="J21" s="127">
        <f>SUM(J3:J17)</f>
        <v>1475</v>
      </c>
      <c r="K21" s="127"/>
      <c r="L21" s="127">
        <f t="shared" ref="L21:U21" si="1">SUM(L3:L17)</f>
        <v>2100</v>
      </c>
      <c r="M21" s="127"/>
      <c r="N21" s="127">
        <f t="shared" si="1"/>
        <v>9375</v>
      </c>
      <c r="O21" s="127"/>
      <c r="P21" s="127">
        <f t="shared" si="1"/>
        <v>2300</v>
      </c>
      <c r="Q21" s="127"/>
      <c r="R21" s="127">
        <f t="shared" si="1"/>
        <v>2175</v>
      </c>
      <c r="S21" s="127">
        <f t="shared" si="1"/>
        <v>1400</v>
      </c>
      <c r="T21" s="127">
        <f t="shared" si="1"/>
        <v>0</v>
      </c>
      <c r="U21" s="127">
        <f t="shared" si="1"/>
        <v>0</v>
      </c>
      <c r="V21" s="127"/>
      <c r="W21" s="127">
        <f t="shared" ref="W21:AC21" si="2">SUM(W3:W17)</f>
        <v>0</v>
      </c>
      <c r="X21" s="127">
        <f t="shared" si="2"/>
        <v>0</v>
      </c>
      <c r="Y21" s="127"/>
      <c r="Z21" s="127">
        <f t="shared" si="2"/>
        <v>0</v>
      </c>
      <c r="AA21" s="127">
        <f t="shared" si="2"/>
        <v>0</v>
      </c>
      <c r="AB21" s="127">
        <f t="shared" si="2"/>
        <v>0</v>
      </c>
      <c r="AC21" s="127">
        <f t="shared" si="2"/>
        <v>0</v>
      </c>
      <c r="AD21" s="127"/>
      <c r="AE21" s="127"/>
      <c r="AF21" s="127">
        <f>SUM(AF3:AF17)</f>
        <v>0</v>
      </c>
      <c r="AG21" s="127"/>
      <c r="AH21" s="127"/>
      <c r="AI21" s="127">
        <f>SUM(AI3:AI17)</f>
        <v>0</v>
      </c>
      <c r="AJ21" s="127"/>
      <c r="AK21" s="127">
        <f>SUM(AK3:AK17)</f>
        <v>0</v>
      </c>
      <c r="AL21" s="7"/>
    </row>
    <row r="22" spans="1:38" ht="15.75">
      <c r="A22" s="21"/>
      <c r="B22" s="21"/>
      <c r="C22" s="21"/>
      <c r="D22" s="54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</row>
    <row r="23" spans="1:38" ht="15.75">
      <c r="A23" s="51"/>
      <c r="B23" s="51" t="s">
        <v>8</v>
      </c>
      <c r="C23" s="51" t="s">
        <v>67</v>
      </c>
      <c r="D23" s="51" t="s">
        <v>68</v>
      </c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</row>
    <row r="24" spans="1:38">
      <c r="A24" s="18">
        <v>1</v>
      </c>
      <c r="B24" s="157" t="s">
        <v>32</v>
      </c>
      <c r="C24" s="18">
        <f t="shared" ref="C24:C39" si="3">AL3</f>
        <v>3625</v>
      </c>
      <c r="D24" s="50">
        <v>1000</v>
      </c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</row>
    <row r="25" spans="1:38">
      <c r="A25" s="18">
        <v>2</v>
      </c>
      <c r="B25" s="157" t="s">
        <v>26</v>
      </c>
      <c r="C25" s="18">
        <f t="shared" si="3"/>
        <v>1750</v>
      </c>
      <c r="D25" s="50">
        <v>1000</v>
      </c>
      <c r="F25" s="68"/>
      <c r="G25" s="68"/>
      <c r="H25" s="68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8"/>
      <c r="X25" s="68"/>
      <c r="Y25" s="68"/>
    </row>
    <row r="26" spans="1:38">
      <c r="A26" s="18">
        <v>3</v>
      </c>
      <c r="B26" s="18" t="s">
        <v>27</v>
      </c>
      <c r="C26" s="18">
        <f t="shared" si="3"/>
        <v>1425</v>
      </c>
      <c r="D26" s="50">
        <v>1000</v>
      </c>
      <c r="F26" s="68"/>
      <c r="G26" s="68"/>
      <c r="H26" s="68"/>
      <c r="I26" s="70"/>
      <c r="J26" s="70"/>
      <c r="K26" s="70"/>
      <c r="L26" s="70"/>
      <c r="M26" s="70"/>
      <c r="N26" s="70"/>
      <c r="O26" s="70"/>
      <c r="P26" s="69"/>
      <c r="Q26" s="69"/>
      <c r="R26" s="69"/>
      <c r="S26" s="69"/>
      <c r="T26" s="69"/>
      <c r="U26" s="69"/>
      <c r="V26" s="69"/>
      <c r="W26" s="68"/>
      <c r="X26" s="68"/>
      <c r="Y26" s="68"/>
    </row>
    <row r="27" spans="1:38">
      <c r="A27" s="18">
        <v>4</v>
      </c>
      <c r="B27" s="157" t="s">
        <v>28</v>
      </c>
      <c r="C27" s="18">
        <f t="shared" si="3"/>
        <v>4750</v>
      </c>
      <c r="D27" s="50">
        <v>1500</v>
      </c>
      <c r="F27" s="68"/>
      <c r="G27" s="68"/>
      <c r="H27" s="68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68"/>
      <c r="X27" s="68"/>
      <c r="Y27" s="68"/>
    </row>
    <row r="28" spans="1:38">
      <c r="A28" s="18">
        <v>5</v>
      </c>
      <c r="B28" s="18" t="s">
        <v>29</v>
      </c>
      <c r="C28" s="18">
        <f t="shared" si="3"/>
        <v>1100</v>
      </c>
      <c r="D28" s="50">
        <v>500</v>
      </c>
      <c r="F28" s="68"/>
      <c r="G28" s="68"/>
      <c r="H28" s="68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/>
      <c r="V28" s="71"/>
      <c r="W28" s="68"/>
      <c r="X28" s="68"/>
      <c r="Y28" s="68"/>
    </row>
    <row r="29" spans="1:38">
      <c r="A29" s="18">
        <v>6</v>
      </c>
      <c r="B29" s="18" t="s">
        <v>30</v>
      </c>
      <c r="C29" s="18">
        <f t="shared" si="3"/>
        <v>1875</v>
      </c>
      <c r="D29" s="50">
        <v>500</v>
      </c>
      <c r="F29" s="68"/>
      <c r="G29" s="68"/>
      <c r="H29" s="68"/>
      <c r="I29" s="70"/>
      <c r="J29" s="70"/>
      <c r="K29" s="70"/>
      <c r="L29" s="70"/>
      <c r="M29" s="70"/>
      <c r="N29" s="70"/>
      <c r="O29" s="70"/>
      <c r="P29" s="71"/>
      <c r="Q29" s="71"/>
      <c r="R29" s="71"/>
      <c r="S29" s="71"/>
      <c r="T29" s="71"/>
      <c r="U29" s="71"/>
      <c r="V29" s="71"/>
      <c r="W29" s="68"/>
      <c r="X29" s="68"/>
      <c r="Y29" s="68"/>
    </row>
    <row r="30" spans="1:38">
      <c r="A30" s="18">
        <v>7</v>
      </c>
      <c r="B30" s="18" t="s">
        <v>166</v>
      </c>
      <c r="C30" s="18">
        <f t="shared" si="3"/>
        <v>1000</v>
      </c>
      <c r="D30" s="50">
        <v>500</v>
      </c>
      <c r="F30" s="68"/>
      <c r="G30" s="68"/>
      <c r="H30" s="68"/>
      <c r="I30" s="70"/>
      <c r="J30" s="70"/>
      <c r="K30" s="70"/>
      <c r="L30" s="70"/>
      <c r="M30" s="70"/>
      <c r="N30" s="70"/>
      <c r="O30" s="70"/>
      <c r="P30" s="71"/>
      <c r="Q30" s="71"/>
      <c r="R30" s="71"/>
      <c r="S30" s="71"/>
      <c r="T30" s="71"/>
      <c r="U30" s="71"/>
      <c r="V30" s="71"/>
      <c r="W30" s="68"/>
      <c r="X30" s="68"/>
      <c r="Y30" s="68"/>
    </row>
    <row r="31" spans="1:38">
      <c r="A31" s="18">
        <v>8</v>
      </c>
      <c r="B31" s="157" t="s">
        <v>31</v>
      </c>
      <c r="C31" s="18">
        <f t="shared" si="3"/>
        <v>400</v>
      </c>
      <c r="D31" s="50">
        <v>200</v>
      </c>
      <c r="F31" s="68"/>
      <c r="G31" s="68"/>
      <c r="H31" s="68"/>
      <c r="I31" s="70"/>
      <c r="J31" s="70"/>
      <c r="K31" s="70"/>
      <c r="L31" s="70"/>
      <c r="M31" s="70"/>
      <c r="N31" s="70"/>
      <c r="O31" s="70"/>
      <c r="P31" s="69"/>
      <c r="Q31" s="69"/>
      <c r="R31" s="69"/>
      <c r="S31" s="69"/>
      <c r="T31" s="69"/>
      <c r="U31" s="69"/>
      <c r="V31" s="69"/>
      <c r="W31" s="68"/>
      <c r="X31" s="68"/>
      <c r="Y31" s="68"/>
    </row>
    <row r="32" spans="1:38">
      <c r="A32" s="18">
        <v>9</v>
      </c>
      <c r="B32" s="157" t="s">
        <v>33</v>
      </c>
      <c r="C32" s="18">
        <f t="shared" si="3"/>
        <v>1075</v>
      </c>
      <c r="D32" s="50">
        <v>500</v>
      </c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</row>
    <row r="33" spans="1:22">
      <c r="A33" s="18">
        <v>10</v>
      </c>
      <c r="B33" s="157" t="s">
        <v>34</v>
      </c>
      <c r="C33" s="18">
        <f t="shared" si="3"/>
        <v>2750</v>
      </c>
      <c r="D33" s="50">
        <v>1000</v>
      </c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</row>
    <row r="34" spans="1:22">
      <c r="A34" s="18">
        <v>11</v>
      </c>
      <c r="B34" s="18" t="s">
        <v>74</v>
      </c>
      <c r="C34" s="18">
        <f t="shared" si="3"/>
        <v>0</v>
      </c>
      <c r="D34" s="50">
        <v>1000</v>
      </c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</row>
    <row r="35" spans="1:22">
      <c r="A35" s="18">
        <v>12</v>
      </c>
      <c r="B35" s="18" t="s">
        <v>35</v>
      </c>
      <c r="C35" s="18">
        <f t="shared" si="3"/>
        <v>6350</v>
      </c>
      <c r="D35" s="50">
        <v>1000</v>
      </c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</row>
    <row r="36" spans="1:22">
      <c r="A36" s="18">
        <v>13</v>
      </c>
      <c r="B36" s="18" t="s">
        <v>36</v>
      </c>
      <c r="C36" s="18">
        <f t="shared" si="3"/>
        <v>150</v>
      </c>
      <c r="D36" s="50">
        <v>100</v>
      </c>
    </row>
    <row r="37" spans="1:22">
      <c r="A37" s="18">
        <v>14</v>
      </c>
      <c r="B37" s="18" t="s">
        <v>52</v>
      </c>
      <c r="C37" s="18">
        <f t="shared" si="3"/>
        <v>350</v>
      </c>
      <c r="D37" s="50">
        <v>100</v>
      </c>
    </row>
    <row r="38" spans="1:22">
      <c r="A38" s="18">
        <v>15</v>
      </c>
      <c r="B38" s="18" t="s">
        <v>184</v>
      </c>
      <c r="C38" s="18">
        <f t="shared" si="3"/>
        <v>500</v>
      </c>
      <c r="D38" s="50"/>
    </row>
    <row r="39" spans="1:22">
      <c r="A39" s="18">
        <v>16</v>
      </c>
      <c r="B39" s="119" t="s">
        <v>158</v>
      </c>
      <c r="C39" s="18">
        <f t="shared" si="3"/>
        <v>0</v>
      </c>
    </row>
    <row r="40" spans="1:22">
      <c r="A40" s="18">
        <v>17</v>
      </c>
      <c r="B40" s="119" t="s">
        <v>199</v>
      </c>
      <c r="C40" s="18">
        <f t="shared" ref="C40:C41" si="4">AL19</f>
        <v>4525</v>
      </c>
    </row>
    <row r="41" spans="1:22">
      <c r="A41" s="18">
        <v>18</v>
      </c>
      <c r="B41" s="18" t="s">
        <v>179</v>
      </c>
      <c r="C41" s="18">
        <f t="shared" si="4"/>
        <v>1225</v>
      </c>
    </row>
  </sheetData>
  <mergeCells count="2">
    <mergeCell ref="A1:E1"/>
    <mergeCell ref="A21:C21"/>
  </mergeCells>
  <conditionalFormatting sqref="C10:C11 C1:C7 C14:C16">
    <cfRule type="expression" priority="3">
      <formula>C23&lt;B23</formula>
    </cfRule>
  </conditionalFormatting>
  <conditionalFormatting sqref="C12:C13 C8:C9">
    <cfRule type="expression" priority="5">
      <formula>C31&lt;B31</formula>
    </cfRule>
  </conditionalFormatting>
  <conditionalFormatting sqref="C39:C1048558">
    <cfRule type="expression" priority="2">
      <formula>C56&lt;B56</formula>
    </cfRule>
  </conditionalFormatting>
  <conditionalFormatting sqref="C23:C38">
    <cfRule type="expression" priority="4">
      <formula>C39&lt;B39</formula>
    </cfRule>
  </conditionalFormatting>
  <conditionalFormatting sqref="C24:C41">
    <cfRule type="expression" dxfId="4" priority="1">
      <formula>$D24&gt;$C24</formula>
    </cfRule>
  </conditionalFormatting>
  <conditionalFormatting sqref="C20">
    <cfRule type="expression" priority="6">
      <formula>C40&lt;B40</formula>
    </cfRule>
  </conditionalFormatting>
  <conditionalFormatting sqref="C22">
    <cfRule type="expression" priority="7">
      <formula>#REF!&lt;#REF!</formula>
    </cfRule>
  </conditionalFormatting>
  <conditionalFormatting sqref="C31:C38">
    <cfRule type="expression" priority="8">
      <formula>C46&lt;B46</formula>
    </cfRule>
  </conditionalFormatting>
  <conditionalFormatting sqref="C39:C41">
    <cfRule type="expression" priority="9">
      <formula>C57&lt;B57</formula>
    </cfRule>
  </conditionalFormatting>
  <conditionalFormatting sqref="C1048559:C1048562">
    <cfRule type="expression" priority="10">
      <formula>C1&lt;B1</formula>
    </cfRule>
  </conditionalFormatting>
  <conditionalFormatting sqref="C17">
    <cfRule type="expression" priority="11">
      <formula>#REF!&lt;#REF!</formula>
    </cfRule>
  </conditionalFormatting>
  <conditionalFormatting sqref="C21">
    <cfRule type="expression" priority="12">
      <formula>#REF!&lt;#REF!</formula>
    </cfRule>
  </conditionalFormatting>
  <conditionalFormatting sqref="C1048564:C1048576">
    <cfRule type="expression" priority="13">
      <formula>C1&lt;B1</formula>
    </cfRule>
  </conditionalFormatting>
  <conditionalFormatting sqref="C18:C19">
    <cfRule type="expression" priority="42">
      <formula>C39&lt;B39</formula>
    </cfRule>
  </conditionalFormatting>
  <conditionalFormatting sqref="C1048563">
    <cfRule type="expression" priority="44">
      <formula>C1&lt;B1</formula>
    </cfRule>
  </conditionalFormatting>
  <pageMargins left="0.7" right="0.7" top="0.75" bottom="0.75" header="0.3" footer="0.3"/>
  <pageSetup scale="60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"/>
  <sheetViews>
    <sheetView zoomScaleNormal="100" workbookViewId="0">
      <pane xSplit="5" ySplit="2" topLeftCell="P3" activePane="bottomRight" state="frozen"/>
      <selection pane="topRight" activeCell="F1" sqref="F1"/>
      <selection pane="bottomLeft" activeCell="A3" sqref="A3"/>
      <selection pane="bottomRight" activeCell="AI5" sqref="AI5"/>
    </sheetView>
  </sheetViews>
  <sheetFormatPr defaultColWidth="9" defaultRowHeight="15"/>
  <cols>
    <col min="1" max="1" width="9" style="2"/>
    <col min="2" max="2" width="26.28515625" style="2" bestFit="1" customWidth="1"/>
    <col min="3" max="4" width="15" style="2" customWidth="1"/>
    <col min="5" max="5" width="10.85546875" style="2" customWidth="1"/>
    <col min="6" max="14" width="10.42578125" style="2" customWidth="1"/>
    <col min="15" max="15" width="11.140625" style="2" customWidth="1"/>
    <col min="16" max="16" width="10.42578125" style="2" customWidth="1"/>
    <col min="17" max="19" width="10.42578125" style="2" hidden="1" customWidth="1"/>
    <col min="20" max="20" width="11.28515625" style="2" hidden="1" customWidth="1"/>
    <col min="21" max="23" width="10.42578125" style="2" hidden="1" customWidth="1"/>
    <col min="24" max="30" width="10.42578125" hidden="1" customWidth="1"/>
    <col min="31" max="31" width="11.42578125" hidden="1" customWidth="1"/>
    <col min="32" max="34" width="10.42578125" hidden="1" customWidth="1"/>
  </cols>
  <sheetData>
    <row r="1" spans="1:35" ht="30.75">
      <c r="A1" s="231" t="s">
        <v>7</v>
      </c>
      <c r="B1" s="231"/>
      <c r="C1" s="231"/>
      <c r="D1" s="231"/>
      <c r="E1" s="231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38"/>
    </row>
    <row r="2" spans="1:35" s="1" customFormat="1" ht="32.25" customHeight="1">
      <c r="A2" s="5" t="s">
        <v>57</v>
      </c>
      <c r="B2" s="5" t="s">
        <v>56</v>
      </c>
      <c r="C2" s="5" t="s">
        <v>103</v>
      </c>
      <c r="D2" s="5" t="s">
        <v>54</v>
      </c>
      <c r="E2" s="84" t="s">
        <v>182</v>
      </c>
      <c r="F2" s="6">
        <v>46054</v>
      </c>
      <c r="G2" s="6">
        <v>46055</v>
      </c>
      <c r="H2" s="6">
        <v>46056</v>
      </c>
      <c r="I2" s="6">
        <v>46057</v>
      </c>
      <c r="J2" s="6">
        <v>46058</v>
      </c>
      <c r="K2" s="86" t="s">
        <v>197</v>
      </c>
      <c r="L2" s="6">
        <v>46059</v>
      </c>
      <c r="M2" s="6">
        <v>46060</v>
      </c>
      <c r="N2" s="6">
        <v>46061</v>
      </c>
      <c r="O2" s="6">
        <v>46062</v>
      </c>
      <c r="P2" s="6">
        <v>46063</v>
      </c>
      <c r="Q2" s="6">
        <v>46064</v>
      </c>
      <c r="R2" s="6">
        <v>46065</v>
      </c>
      <c r="S2" s="6">
        <v>46066</v>
      </c>
      <c r="T2" s="6">
        <v>46067</v>
      </c>
      <c r="U2" s="6">
        <v>46068</v>
      </c>
      <c r="V2" s="6">
        <v>46069</v>
      </c>
      <c r="W2" s="6">
        <v>46070</v>
      </c>
      <c r="X2" s="6">
        <v>46071</v>
      </c>
      <c r="Y2" s="6">
        <v>46072</v>
      </c>
      <c r="Z2" s="6">
        <v>46073</v>
      </c>
      <c r="AA2" s="6">
        <v>46074</v>
      </c>
      <c r="AB2" s="6">
        <v>46075</v>
      </c>
      <c r="AC2" s="6">
        <v>46076</v>
      </c>
      <c r="AD2" s="6">
        <v>46077</v>
      </c>
      <c r="AE2" s="6">
        <v>46078</v>
      </c>
      <c r="AF2" s="6">
        <v>46079</v>
      </c>
      <c r="AG2" s="6">
        <v>46080</v>
      </c>
      <c r="AH2" s="6">
        <v>46081</v>
      </c>
      <c r="AI2" s="5" t="s">
        <v>5</v>
      </c>
    </row>
    <row r="3" spans="1:35">
      <c r="A3" s="18">
        <v>1</v>
      </c>
      <c r="B3" s="57" t="s">
        <v>84</v>
      </c>
      <c r="C3" s="3" t="s">
        <v>95</v>
      </c>
      <c r="D3" s="3" t="s">
        <v>1</v>
      </c>
      <c r="E3" s="7">
        <v>350</v>
      </c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66"/>
      <c r="X3" s="106"/>
      <c r="Y3" s="106"/>
      <c r="Z3" s="137"/>
      <c r="AA3" s="137"/>
      <c r="AB3" s="137"/>
      <c r="AC3" s="137"/>
      <c r="AD3" s="137"/>
      <c r="AE3" s="107"/>
      <c r="AF3" s="137"/>
      <c r="AG3" s="137"/>
      <c r="AH3" s="137"/>
      <c r="AI3" s="7">
        <f>E3-F3-G3-H3-I3-J3+K3-L3-M3-N3-O3-P3-Q3-R3-S3-T3-U3-V3-W3-X3-Y3-Z3-AA3-AB3-AC3-AD3-AE3-AF3-AG3-AH3</f>
        <v>350</v>
      </c>
    </row>
    <row r="4" spans="1:35">
      <c r="A4" s="18">
        <v>2</v>
      </c>
      <c r="B4" s="57" t="s">
        <v>97</v>
      </c>
      <c r="C4" s="57" t="s">
        <v>96</v>
      </c>
      <c r="D4" s="3" t="s">
        <v>1</v>
      </c>
      <c r="E4" s="7">
        <v>175</v>
      </c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66"/>
      <c r="X4" s="106"/>
      <c r="Y4" s="106"/>
      <c r="Z4" s="137"/>
      <c r="AA4" s="137"/>
      <c r="AB4" s="137"/>
      <c r="AC4" s="137"/>
      <c r="AD4" s="137"/>
      <c r="AE4" s="107"/>
      <c r="AF4" s="137"/>
      <c r="AG4" s="137"/>
      <c r="AH4" s="137"/>
      <c r="AI4" s="7">
        <f t="shared" ref="AI4:AI24" si="0">E4-F4-G4-H4-I4-J4+K4-L4-M4-N4-O4-P4-Q4-R4-S4-T4-U4-V4-W4-X4-Y4-Z4-AA4-AB4-AC4-AD4-AE4-AF4-AG4-AH4</f>
        <v>175</v>
      </c>
    </row>
    <row r="5" spans="1:35">
      <c r="A5" s="18">
        <v>3</v>
      </c>
      <c r="B5" s="159" t="s">
        <v>85</v>
      </c>
      <c r="C5" s="57" t="s">
        <v>98</v>
      </c>
      <c r="D5" s="3" t="s">
        <v>1</v>
      </c>
      <c r="E5" s="7">
        <v>250</v>
      </c>
      <c r="F5" s="106"/>
      <c r="G5" s="106"/>
      <c r="H5" s="106"/>
      <c r="I5" s="106">
        <v>25</v>
      </c>
      <c r="J5" s="106">
        <v>25</v>
      </c>
      <c r="K5" s="106"/>
      <c r="L5" s="106"/>
      <c r="M5" s="106">
        <v>25</v>
      </c>
      <c r="N5" s="106"/>
      <c r="O5" s="106">
        <v>25</v>
      </c>
      <c r="P5" s="106"/>
      <c r="Q5" s="106"/>
      <c r="R5" s="106"/>
      <c r="S5" s="106"/>
      <c r="T5" s="106"/>
      <c r="U5" s="106"/>
      <c r="V5" s="106"/>
      <c r="W5" s="66"/>
      <c r="X5" s="106"/>
      <c r="Y5" s="106"/>
      <c r="Z5" s="137"/>
      <c r="AA5" s="137"/>
      <c r="AB5" s="137"/>
      <c r="AC5" s="137"/>
      <c r="AD5" s="137"/>
      <c r="AE5" s="107"/>
      <c r="AF5" s="137"/>
      <c r="AG5" s="137"/>
      <c r="AH5" s="137"/>
      <c r="AI5" s="7">
        <f t="shared" si="0"/>
        <v>150</v>
      </c>
    </row>
    <row r="6" spans="1:35">
      <c r="A6" s="18">
        <v>4</v>
      </c>
      <c r="B6" s="57" t="s">
        <v>99</v>
      </c>
      <c r="C6" s="57" t="s">
        <v>95</v>
      </c>
      <c r="D6" s="3" t="s">
        <v>1</v>
      </c>
      <c r="E6" s="7">
        <v>350</v>
      </c>
      <c r="F6" s="137">
        <v>25</v>
      </c>
      <c r="G6" s="137"/>
      <c r="H6" s="137">
        <v>25</v>
      </c>
      <c r="I6" s="137"/>
      <c r="J6" s="137"/>
      <c r="K6" s="137"/>
      <c r="L6" s="137"/>
      <c r="M6" s="137"/>
      <c r="N6" s="137"/>
      <c r="O6" s="137">
        <v>50</v>
      </c>
      <c r="P6" s="137"/>
      <c r="Q6" s="137"/>
      <c r="R6" s="137"/>
      <c r="S6" s="137"/>
      <c r="T6" s="137"/>
      <c r="U6" s="137"/>
      <c r="V6" s="137"/>
      <c r="W6" s="108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7">
        <f t="shared" si="0"/>
        <v>250</v>
      </c>
    </row>
    <row r="7" spans="1:35">
      <c r="A7" s="18">
        <v>5</v>
      </c>
      <c r="B7" s="159" t="s">
        <v>86</v>
      </c>
      <c r="C7" s="57" t="s">
        <v>100</v>
      </c>
      <c r="D7" s="3" t="s">
        <v>1</v>
      </c>
      <c r="E7" s="7">
        <v>175</v>
      </c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08"/>
      <c r="Q7" s="137"/>
      <c r="R7" s="137"/>
      <c r="S7" s="137"/>
      <c r="T7" s="137"/>
      <c r="U7" s="137"/>
      <c r="V7" s="137"/>
      <c r="W7" s="108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7">
        <f t="shared" si="0"/>
        <v>175</v>
      </c>
    </row>
    <row r="8" spans="1:35">
      <c r="A8" s="18">
        <v>6</v>
      </c>
      <c r="B8" s="159" t="s">
        <v>87</v>
      </c>
      <c r="C8" s="57" t="s">
        <v>101</v>
      </c>
      <c r="D8" s="4" t="s">
        <v>1</v>
      </c>
      <c r="E8" s="7">
        <v>100</v>
      </c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08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7">
        <f t="shared" si="0"/>
        <v>100</v>
      </c>
    </row>
    <row r="9" spans="1:35">
      <c r="A9" s="18">
        <v>7</v>
      </c>
      <c r="B9" s="57" t="s">
        <v>88</v>
      </c>
      <c r="C9" s="57" t="s">
        <v>96</v>
      </c>
      <c r="D9" s="4" t="s">
        <v>1</v>
      </c>
      <c r="E9" s="7">
        <v>225</v>
      </c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08"/>
      <c r="U9" s="137"/>
      <c r="V9" s="137"/>
      <c r="W9" s="108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7">
        <f t="shared" si="0"/>
        <v>225</v>
      </c>
    </row>
    <row r="10" spans="1:35">
      <c r="A10" s="18">
        <v>8</v>
      </c>
      <c r="B10" s="57" t="s">
        <v>89</v>
      </c>
      <c r="C10" s="57" t="s">
        <v>96</v>
      </c>
      <c r="D10" s="4" t="s">
        <v>1</v>
      </c>
      <c r="E10" s="7">
        <v>100</v>
      </c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08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7">
        <f t="shared" si="0"/>
        <v>100</v>
      </c>
    </row>
    <row r="11" spans="1:35">
      <c r="A11" s="18">
        <v>9</v>
      </c>
      <c r="B11" s="59" t="s">
        <v>104</v>
      </c>
      <c r="C11" s="57" t="s">
        <v>96</v>
      </c>
      <c r="D11" s="4" t="s">
        <v>1</v>
      </c>
      <c r="E11" s="7">
        <v>150</v>
      </c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08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  <c r="AH11" s="137"/>
      <c r="AI11" s="7">
        <f t="shared" si="0"/>
        <v>150</v>
      </c>
    </row>
    <row r="12" spans="1:35">
      <c r="A12" s="18">
        <v>10</v>
      </c>
      <c r="B12" s="57" t="s">
        <v>91</v>
      </c>
      <c r="C12" s="3" t="s">
        <v>96</v>
      </c>
      <c r="D12" s="3" t="s">
        <v>1</v>
      </c>
      <c r="E12" s="7">
        <v>100</v>
      </c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08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7">
        <f t="shared" si="0"/>
        <v>100</v>
      </c>
    </row>
    <row r="13" spans="1:35">
      <c r="A13" s="18">
        <v>11</v>
      </c>
      <c r="B13" s="57" t="s">
        <v>92</v>
      </c>
      <c r="C13" s="57" t="s">
        <v>96</v>
      </c>
      <c r="D13" s="4" t="s">
        <v>1</v>
      </c>
      <c r="E13" s="7">
        <v>150</v>
      </c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08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7">
        <f t="shared" si="0"/>
        <v>150</v>
      </c>
    </row>
    <row r="14" spans="1:35">
      <c r="A14" s="18">
        <v>12</v>
      </c>
      <c r="B14" s="3" t="s">
        <v>93</v>
      </c>
      <c r="C14" s="3" t="s">
        <v>96</v>
      </c>
      <c r="D14" s="3" t="s">
        <v>1</v>
      </c>
      <c r="E14" s="7">
        <v>100</v>
      </c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08"/>
      <c r="S14" s="137"/>
      <c r="T14" s="137"/>
      <c r="U14" s="137"/>
      <c r="V14" s="137"/>
      <c r="W14" s="108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7">
        <f t="shared" si="0"/>
        <v>100</v>
      </c>
    </row>
    <row r="15" spans="1:35">
      <c r="A15" s="18">
        <v>13</v>
      </c>
      <c r="B15" s="160" t="s">
        <v>111</v>
      </c>
      <c r="C15" s="3" t="s">
        <v>102</v>
      </c>
      <c r="D15" s="3" t="s">
        <v>1</v>
      </c>
      <c r="E15" s="7">
        <v>50</v>
      </c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08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7">
        <f t="shared" si="0"/>
        <v>50</v>
      </c>
    </row>
    <row r="16" spans="1:35">
      <c r="A16" s="18">
        <v>14</v>
      </c>
      <c r="B16" s="3" t="s">
        <v>135</v>
      </c>
      <c r="C16" s="3" t="s">
        <v>96</v>
      </c>
      <c r="D16" s="3" t="s">
        <v>1</v>
      </c>
      <c r="E16" s="7">
        <v>25</v>
      </c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7">
        <f t="shared" si="0"/>
        <v>25</v>
      </c>
    </row>
    <row r="17" spans="1:35">
      <c r="A17" s="18">
        <v>15</v>
      </c>
      <c r="B17" s="3" t="s">
        <v>136</v>
      </c>
      <c r="C17" s="3" t="s">
        <v>96</v>
      </c>
      <c r="D17" s="3" t="s">
        <v>1</v>
      </c>
      <c r="E17" s="7">
        <v>100</v>
      </c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7">
        <f t="shared" si="0"/>
        <v>100</v>
      </c>
    </row>
    <row r="18" spans="1:35">
      <c r="A18" s="18">
        <v>16</v>
      </c>
      <c r="B18" s="3">
        <v>1544</v>
      </c>
      <c r="C18" s="3" t="s">
        <v>96</v>
      </c>
      <c r="D18" s="3" t="s">
        <v>1</v>
      </c>
      <c r="E18" s="7">
        <v>99</v>
      </c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7">
        <f t="shared" si="0"/>
        <v>99</v>
      </c>
    </row>
    <row r="19" spans="1:35">
      <c r="A19" s="18">
        <v>17</v>
      </c>
      <c r="B19" s="3">
        <v>1423</v>
      </c>
      <c r="C19" s="3" t="s">
        <v>96</v>
      </c>
      <c r="D19" s="3" t="s">
        <v>1</v>
      </c>
      <c r="E19" s="7">
        <v>93</v>
      </c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7">
        <f t="shared" si="0"/>
        <v>93</v>
      </c>
    </row>
    <row r="20" spans="1:35">
      <c r="A20" s="18">
        <v>18</v>
      </c>
      <c r="B20" s="3" t="s">
        <v>146</v>
      </c>
      <c r="C20" s="126" t="s">
        <v>101</v>
      </c>
      <c r="D20" s="3" t="s">
        <v>1</v>
      </c>
      <c r="E20" s="7">
        <v>50</v>
      </c>
      <c r="F20" s="137"/>
      <c r="G20" s="108"/>
      <c r="H20" s="137"/>
      <c r="I20" s="137"/>
      <c r="J20" s="137"/>
      <c r="K20" s="137"/>
      <c r="L20" s="137"/>
      <c r="M20" s="137"/>
      <c r="N20" s="137"/>
      <c r="O20" s="108"/>
      <c r="P20" s="137"/>
      <c r="Q20" s="137"/>
      <c r="R20" s="137"/>
      <c r="S20" s="137"/>
      <c r="T20" s="137"/>
      <c r="U20" s="137"/>
      <c r="V20" s="108"/>
      <c r="W20" s="137"/>
      <c r="X20" s="137"/>
      <c r="Y20" s="137"/>
      <c r="Z20" s="137"/>
      <c r="AA20" s="137"/>
      <c r="AB20" s="137"/>
      <c r="AC20" s="137"/>
      <c r="AD20" s="137"/>
      <c r="AE20" s="108"/>
      <c r="AF20" s="137"/>
      <c r="AG20" s="137"/>
      <c r="AH20" s="137"/>
      <c r="AI20" s="7">
        <f t="shared" si="0"/>
        <v>50</v>
      </c>
    </row>
    <row r="21" spans="1:35">
      <c r="A21" s="63">
        <v>19</v>
      </c>
      <c r="B21" s="90" t="s">
        <v>147</v>
      </c>
      <c r="C21" s="129" t="s">
        <v>156</v>
      </c>
      <c r="D21" s="90" t="s">
        <v>1</v>
      </c>
      <c r="E21" s="130">
        <v>25</v>
      </c>
      <c r="F21" s="137"/>
      <c r="G21" s="137"/>
      <c r="H21" s="137"/>
      <c r="I21" s="137"/>
      <c r="J21" s="137"/>
      <c r="K21" s="137"/>
      <c r="L21" s="137"/>
      <c r="M21" s="137"/>
      <c r="N21" s="137"/>
      <c r="O21" s="108"/>
      <c r="P21" s="137"/>
      <c r="Q21" s="137"/>
      <c r="R21" s="137"/>
      <c r="S21" s="137"/>
      <c r="T21" s="137"/>
      <c r="U21" s="137"/>
      <c r="V21" s="108"/>
      <c r="W21" s="137"/>
      <c r="X21" s="137"/>
      <c r="Y21" s="137"/>
      <c r="Z21" s="137"/>
      <c r="AA21" s="137"/>
      <c r="AB21" s="137"/>
      <c r="AC21" s="137"/>
      <c r="AD21" s="137"/>
      <c r="AE21" s="108"/>
      <c r="AF21" s="137"/>
      <c r="AG21" s="137"/>
      <c r="AH21" s="137"/>
      <c r="AI21" s="7">
        <f t="shared" si="0"/>
        <v>25</v>
      </c>
    </row>
    <row r="22" spans="1:35" ht="15.75" thickBot="1">
      <c r="A22" s="63">
        <v>20</v>
      </c>
      <c r="B22" s="90" t="s">
        <v>171</v>
      </c>
      <c r="C22" s="144" t="s">
        <v>96</v>
      </c>
      <c r="D22" s="90" t="s">
        <v>1</v>
      </c>
      <c r="E22" s="130">
        <v>250</v>
      </c>
      <c r="F22" s="137"/>
      <c r="G22" s="137"/>
      <c r="H22" s="137"/>
      <c r="I22" s="137"/>
      <c r="J22" s="137"/>
      <c r="K22" s="137"/>
      <c r="L22" s="137"/>
      <c r="M22" s="137"/>
      <c r="N22" s="108"/>
      <c r="O22" s="108"/>
      <c r="P22" s="137"/>
      <c r="Q22" s="137"/>
      <c r="R22" s="137"/>
      <c r="S22" s="137"/>
      <c r="T22" s="137"/>
      <c r="U22" s="137"/>
      <c r="V22" s="108"/>
      <c r="W22" s="137"/>
      <c r="X22" s="137"/>
      <c r="Y22" s="137"/>
      <c r="Z22" s="137"/>
      <c r="AA22" s="137"/>
      <c r="AB22" s="137"/>
      <c r="AC22" s="137"/>
      <c r="AD22" s="137"/>
      <c r="AE22" s="108"/>
      <c r="AF22" s="137"/>
      <c r="AG22" s="137"/>
      <c r="AH22" s="137"/>
      <c r="AI22" s="7">
        <f t="shared" si="0"/>
        <v>250</v>
      </c>
    </row>
    <row r="23" spans="1:35" ht="15.75" thickBot="1">
      <c r="A23" s="18">
        <v>21</v>
      </c>
      <c r="B23" s="3" t="s">
        <v>160</v>
      </c>
      <c r="C23" s="57" t="s">
        <v>98</v>
      </c>
      <c r="D23" s="3" t="s">
        <v>1</v>
      </c>
      <c r="E23" s="7">
        <v>0</v>
      </c>
      <c r="F23" s="137"/>
      <c r="G23" s="137"/>
      <c r="H23" s="137"/>
      <c r="I23" s="137"/>
      <c r="J23" s="137"/>
      <c r="K23" s="153">
        <v>25</v>
      </c>
      <c r="L23" s="137">
        <v>25</v>
      </c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08"/>
      <c r="Z23" s="137"/>
      <c r="AA23" s="137"/>
      <c r="AB23" s="137"/>
      <c r="AC23" s="137"/>
      <c r="AD23" s="137"/>
      <c r="AE23" s="137"/>
      <c r="AF23" s="137"/>
      <c r="AG23" s="137"/>
      <c r="AH23" s="137"/>
      <c r="AI23" s="7">
        <f t="shared" si="0"/>
        <v>0</v>
      </c>
    </row>
    <row r="24" spans="1:35">
      <c r="A24" s="18">
        <v>22</v>
      </c>
      <c r="B24" s="3">
        <v>8801</v>
      </c>
      <c r="C24" s="145" t="s">
        <v>96</v>
      </c>
      <c r="D24" s="3" t="s">
        <v>1</v>
      </c>
      <c r="E24" s="7">
        <v>0</v>
      </c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08"/>
      <c r="W24" s="137"/>
      <c r="X24" s="137"/>
      <c r="Y24" s="108"/>
      <c r="Z24" s="137"/>
      <c r="AA24" s="137"/>
      <c r="AB24" s="137"/>
      <c r="AC24" s="137"/>
      <c r="AD24" s="137"/>
      <c r="AE24" s="137"/>
      <c r="AF24" s="137"/>
      <c r="AG24" s="137"/>
      <c r="AH24" s="137"/>
      <c r="AI24" s="7">
        <f t="shared" si="0"/>
        <v>0</v>
      </c>
    </row>
    <row r="26" spans="1:35" ht="30">
      <c r="A26" s="5" t="s">
        <v>57</v>
      </c>
      <c r="B26" s="5" t="s">
        <v>56</v>
      </c>
      <c r="C26" s="5" t="s">
        <v>69</v>
      </c>
      <c r="D26" s="5" t="s">
        <v>68</v>
      </c>
    </row>
    <row r="27" spans="1:35">
      <c r="A27" s="18">
        <v>1</v>
      </c>
      <c r="B27" s="57" t="s">
        <v>84</v>
      </c>
      <c r="C27" s="18">
        <f t="shared" ref="C27:C48" si="1">AI3</f>
        <v>350</v>
      </c>
      <c r="D27" s="50">
        <v>200</v>
      </c>
    </row>
    <row r="28" spans="1:35">
      <c r="A28" s="18">
        <v>2</v>
      </c>
      <c r="B28" s="57" t="s">
        <v>97</v>
      </c>
      <c r="C28" s="18">
        <f t="shared" si="1"/>
        <v>175</v>
      </c>
      <c r="D28" s="50">
        <v>100</v>
      </c>
    </row>
    <row r="29" spans="1:35">
      <c r="A29" s="18">
        <v>3</v>
      </c>
      <c r="B29" s="57" t="s">
        <v>85</v>
      </c>
      <c r="C29" s="18">
        <f t="shared" si="1"/>
        <v>150</v>
      </c>
      <c r="D29" s="50">
        <v>200</v>
      </c>
    </row>
    <row r="30" spans="1:35">
      <c r="A30" s="18">
        <v>4</v>
      </c>
      <c r="B30" s="57" t="s">
        <v>99</v>
      </c>
      <c r="C30" s="18">
        <f t="shared" si="1"/>
        <v>250</v>
      </c>
      <c r="D30" s="50">
        <v>200</v>
      </c>
    </row>
    <row r="31" spans="1:35">
      <c r="A31" s="18">
        <v>5</v>
      </c>
      <c r="B31" s="161" t="s">
        <v>86</v>
      </c>
      <c r="C31" s="18">
        <f t="shared" si="1"/>
        <v>175</v>
      </c>
      <c r="D31" s="50">
        <v>100</v>
      </c>
    </row>
    <row r="32" spans="1:35">
      <c r="A32" s="18">
        <v>6</v>
      </c>
      <c r="B32" s="57" t="s">
        <v>87</v>
      </c>
      <c r="C32" s="18">
        <f t="shared" si="1"/>
        <v>100</v>
      </c>
      <c r="D32" s="50">
        <v>25</v>
      </c>
    </row>
    <row r="33" spans="1:4">
      <c r="A33" s="18">
        <v>7</v>
      </c>
      <c r="B33" s="57" t="s">
        <v>88</v>
      </c>
      <c r="C33" s="18">
        <f t="shared" si="1"/>
        <v>225</v>
      </c>
      <c r="D33" s="50">
        <v>200</v>
      </c>
    </row>
    <row r="34" spans="1:4">
      <c r="A34" s="18">
        <v>8</v>
      </c>
      <c r="B34" s="57" t="s">
        <v>89</v>
      </c>
      <c r="C34" s="18">
        <f t="shared" si="1"/>
        <v>100</v>
      </c>
      <c r="D34" s="50">
        <v>200</v>
      </c>
    </row>
    <row r="35" spans="1:4">
      <c r="A35" s="18">
        <v>9</v>
      </c>
      <c r="B35" s="59" t="s">
        <v>104</v>
      </c>
      <c r="C35" s="18">
        <f t="shared" si="1"/>
        <v>150</v>
      </c>
      <c r="D35" s="50">
        <v>100</v>
      </c>
    </row>
    <row r="36" spans="1:4">
      <c r="A36" s="18">
        <v>10</v>
      </c>
      <c r="B36" s="57" t="s">
        <v>91</v>
      </c>
      <c r="C36" s="18">
        <f t="shared" si="1"/>
        <v>100</v>
      </c>
      <c r="D36" s="50">
        <v>0</v>
      </c>
    </row>
    <row r="37" spans="1:4">
      <c r="A37" s="18">
        <v>11</v>
      </c>
      <c r="B37" s="57" t="s">
        <v>92</v>
      </c>
      <c r="C37" s="18">
        <f t="shared" si="1"/>
        <v>150</v>
      </c>
      <c r="D37" s="50">
        <v>100</v>
      </c>
    </row>
    <row r="38" spans="1:4">
      <c r="A38" s="18">
        <v>12</v>
      </c>
      <c r="B38" s="3" t="s">
        <v>93</v>
      </c>
      <c r="C38" s="18">
        <f t="shared" si="1"/>
        <v>100</v>
      </c>
      <c r="D38" s="50">
        <v>100</v>
      </c>
    </row>
    <row r="39" spans="1:4">
      <c r="A39" s="18">
        <v>13</v>
      </c>
      <c r="B39" s="3" t="s">
        <v>111</v>
      </c>
      <c r="C39" s="18">
        <f t="shared" si="1"/>
        <v>50</v>
      </c>
      <c r="D39" s="50">
        <v>25</v>
      </c>
    </row>
    <row r="40" spans="1:4">
      <c r="A40" s="18">
        <v>14</v>
      </c>
      <c r="B40" s="3" t="s">
        <v>135</v>
      </c>
      <c r="C40" s="18">
        <f t="shared" si="1"/>
        <v>25</v>
      </c>
      <c r="D40" s="50">
        <v>25</v>
      </c>
    </row>
    <row r="41" spans="1:4">
      <c r="A41" s="18">
        <v>15</v>
      </c>
      <c r="B41" s="3" t="s">
        <v>136</v>
      </c>
      <c r="C41" s="18">
        <f t="shared" si="1"/>
        <v>100</v>
      </c>
      <c r="D41" s="50">
        <v>75</v>
      </c>
    </row>
    <row r="42" spans="1:4">
      <c r="A42" s="18">
        <v>16</v>
      </c>
      <c r="B42" s="3">
        <v>1544</v>
      </c>
      <c r="C42" s="18">
        <f t="shared" si="1"/>
        <v>99</v>
      </c>
    </row>
    <row r="43" spans="1:4">
      <c r="A43" s="18">
        <v>17</v>
      </c>
      <c r="B43" s="3">
        <v>1423</v>
      </c>
      <c r="C43" s="18">
        <f t="shared" si="1"/>
        <v>93</v>
      </c>
    </row>
    <row r="44" spans="1:4">
      <c r="A44" s="18">
        <v>18</v>
      </c>
      <c r="B44" s="3" t="s">
        <v>146</v>
      </c>
      <c r="C44" s="18">
        <f t="shared" si="1"/>
        <v>50</v>
      </c>
    </row>
    <row r="45" spans="1:4">
      <c r="A45" s="18">
        <v>19</v>
      </c>
      <c r="B45" s="3" t="s">
        <v>147</v>
      </c>
      <c r="C45" s="18">
        <f t="shared" si="1"/>
        <v>25</v>
      </c>
    </row>
    <row r="46" spans="1:4">
      <c r="A46" s="63">
        <v>20</v>
      </c>
      <c r="B46" s="90" t="s">
        <v>171</v>
      </c>
      <c r="C46" s="18">
        <f t="shared" si="1"/>
        <v>250</v>
      </c>
    </row>
    <row r="47" spans="1:4">
      <c r="A47" s="18">
        <v>21</v>
      </c>
      <c r="B47" s="3" t="s">
        <v>160</v>
      </c>
      <c r="C47" s="18">
        <f t="shared" si="1"/>
        <v>0</v>
      </c>
    </row>
    <row r="48" spans="1:4">
      <c r="A48" s="18">
        <v>22</v>
      </c>
      <c r="B48" s="3">
        <v>8801</v>
      </c>
      <c r="C48" s="18">
        <f t="shared" si="1"/>
        <v>0</v>
      </c>
    </row>
  </sheetData>
  <mergeCells count="1">
    <mergeCell ref="A1:E1"/>
  </mergeCells>
  <conditionalFormatting sqref="C27:C48">
    <cfRule type="expression" dxfId="3" priority="1">
      <formula>$D27&gt;$C27</formula>
    </cfRule>
  </conditionalFormatting>
  <pageMargins left="0.70866141732283472" right="0.70866141732283472" top="0.74803149606299213" bottom="0.74803149606299213" header="0.31496062992125984" footer="0.31496062992125984"/>
  <pageSetup scale="14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J14" sqref="J14"/>
    </sheetView>
  </sheetViews>
  <sheetFormatPr defaultRowHeight="15"/>
  <cols>
    <col min="1" max="1" width="30.5703125" bestFit="1" customWidth="1"/>
    <col min="2" max="2" width="13.28515625" customWidth="1"/>
  </cols>
  <sheetData>
    <row r="1" spans="1:2" ht="21">
      <c r="A1" s="232" t="s">
        <v>203</v>
      </c>
      <c r="B1" s="232"/>
    </row>
    <row r="2" spans="1:2" ht="18.75">
      <c r="A2" s="164" t="s">
        <v>201</v>
      </c>
      <c r="B2" s="164" t="s">
        <v>67</v>
      </c>
    </row>
    <row r="3" spans="1:2" s="163" customFormat="1" ht="12" customHeight="1">
      <c r="A3" s="235"/>
      <c r="B3" s="236"/>
    </row>
    <row r="4" spans="1:2">
      <c r="A4" s="165" t="s">
        <v>32</v>
      </c>
      <c r="B4" s="66">
        <v>12300</v>
      </c>
    </row>
    <row r="5" spans="1:2">
      <c r="A5" s="165" t="s">
        <v>26</v>
      </c>
      <c r="B5" s="66">
        <v>1925</v>
      </c>
    </row>
    <row r="6" spans="1:2">
      <c r="A6" s="165" t="s">
        <v>28</v>
      </c>
      <c r="B6" s="66">
        <v>3650</v>
      </c>
    </row>
    <row r="7" spans="1:2">
      <c r="A7" s="165" t="s">
        <v>31</v>
      </c>
      <c r="B7" s="66">
        <v>100</v>
      </c>
    </row>
    <row r="8" spans="1:2">
      <c r="A8" s="165" t="s">
        <v>33</v>
      </c>
      <c r="B8" s="66">
        <v>1650</v>
      </c>
    </row>
    <row r="9" spans="1:2">
      <c r="A9" s="165" t="s">
        <v>34</v>
      </c>
      <c r="B9" s="66">
        <v>5200</v>
      </c>
    </row>
    <row r="10" spans="1:2">
      <c r="A10" s="165" t="s">
        <v>199</v>
      </c>
      <c r="B10" s="66"/>
    </row>
    <row r="11" spans="1:2">
      <c r="A11" s="233"/>
      <c r="B11" s="234"/>
    </row>
    <row r="12" spans="1:2" ht="21">
      <c r="A12" s="232" t="s">
        <v>202</v>
      </c>
      <c r="B12" s="232"/>
    </row>
    <row r="13" spans="1:2" ht="18.75">
      <c r="A13" s="164" t="s">
        <v>204</v>
      </c>
      <c r="B13" s="164" t="s">
        <v>67</v>
      </c>
    </row>
    <row r="14" spans="1:2" ht="14.25" customHeight="1">
      <c r="A14" s="235"/>
      <c r="B14" s="236"/>
    </row>
    <row r="15" spans="1:2">
      <c r="A15" s="165" t="s">
        <v>85</v>
      </c>
      <c r="B15" s="66">
        <v>100</v>
      </c>
    </row>
    <row r="16" spans="1:2">
      <c r="A16" s="165" t="s">
        <v>86</v>
      </c>
      <c r="B16" s="66">
        <v>75</v>
      </c>
    </row>
    <row r="17" spans="1:2">
      <c r="A17" s="165" t="s">
        <v>87</v>
      </c>
      <c r="B17" s="66">
        <v>100</v>
      </c>
    </row>
    <row r="18" spans="1:2">
      <c r="A18" s="165" t="s">
        <v>111</v>
      </c>
      <c r="B18" s="66">
        <v>50</v>
      </c>
    </row>
  </sheetData>
  <mergeCells count="5">
    <mergeCell ref="A1:B1"/>
    <mergeCell ref="A12:B12"/>
    <mergeCell ref="A11:B11"/>
    <mergeCell ref="A14:B14"/>
    <mergeCell ref="A3:B3"/>
  </mergeCells>
  <pageMargins left="0.70866141732283472" right="0.70866141732283472" top="0.74803149606299213" bottom="0.74803149606299213" header="0.31496062992125984" footer="0.31496062992125984"/>
  <pageSetup scale="15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zoomScaleNormal="10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X3" sqref="X3:X20"/>
    </sheetView>
  </sheetViews>
  <sheetFormatPr defaultColWidth="9" defaultRowHeight="15"/>
  <cols>
    <col min="1" max="1" width="9" style="2"/>
    <col min="2" max="2" width="33.5703125" style="2" customWidth="1"/>
    <col min="3" max="3" width="15" style="2" customWidth="1"/>
    <col min="4" max="4" width="17" style="2" bestFit="1" customWidth="1"/>
    <col min="5" max="5" width="11.7109375" style="2" customWidth="1"/>
    <col min="6" max="6" width="11.140625" style="2" customWidth="1"/>
    <col min="7" max="8" width="10.85546875" style="2" customWidth="1"/>
    <col min="9" max="9" width="10.42578125" style="2" bestFit="1" customWidth="1"/>
    <col min="10" max="13" width="11.140625" style="2" hidden="1" customWidth="1"/>
    <col min="14" max="14" width="10.28515625" style="2" hidden="1" customWidth="1"/>
    <col min="15" max="23" width="11.140625" style="2" hidden="1" customWidth="1"/>
    <col min="24" max="24" width="9" style="2"/>
  </cols>
  <sheetData>
    <row r="1" spans="1:24" ht="30.75">
      <c r="A1" s="231" t="s">
        <v>66</v>
      </c>
      <c r="B1" s="231"/>
      <c r="C1" s="231"/>
      <c r="D1" s="231"/>
      <c r="E1" s="231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156"/>
    </row>
    <row r="2" spans="1:24" s="1" customFormat="1" ht="32.25" customHeight="1">
      <c r="A2" s="5" t="s">
        <v>57</v>
      </c>
      <c r="B2" s="5" t="s">
        <v>56</v>
      </c>
      <c r="C2" s="5" t="s">
        <v>55</v>
      </c>
      <c r="D2" s="5" t="s">
        <v>54</v>
      </c>
      <c r="E2" s="84" t="s">
        <v>200</v>
      </c>
      <c r="F2" s="105">
        <v>46078</v>
      </c>
      <c r="G2" s="105">
        <v>46079</v>
      </c>
      <c r="H2" s="105">
        <v>46080</v>
      </c>
      <c r="I2" s="105">
        <v>46081</v>
      </c>
      <c r="J2" s="105">
        <v>46068</v>
      </c>
      <c r="K2" s="105">
        <v>46069</v>
      </c>
      <c r="L2" s="105">
        <v>46070</v>
      </c>
      <c r="M2" s="105">
        <v>46071</v>
      </c>
      <c r="N2" s="105">
        <v>46072</v>
      </c>
      <c r="O2" s="105">
        <v>46073</v>
      </c>
      <c r="P2" s="105">
        <v>46074</v>
      </c>
      <c r="Q2" s="105">
        <v>46075</v>
      </c>
      <c r="R2" s="105">
        <v>46076</v>
      </c>
      <c r="S2" s="105">
        <v>46077</v>
      </c>
      <c r="T2" s="105">
        <v>46078</v>
      </c>
      <c r="U2" s="105">
        <v>46079</v>
      </c>
      <c r="V2" s="105">
        <v>46080</v>
      </c>
      <c r="W2" s="105">
        <v>46081</v>
      </c>
      <c r="X2" s="5" t="s">
        <v>5</v>
      </c>
    </row>
    <row r="3" spans="1:24">
      <c r="A3" s="18">
        <v>1</v>
      </c>
      <c r="B3" s="66" t="s">
        <v>32</v>
      </c>
      <c r="C3" s="18" t="s">
        <v>0</v>
      </c>
      <c r="D3" s="18" t="s">
        <v>1</v>
      </c>
      <c r="E3" s="7">
        <v>12300</v>
      </c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151"/>
      <c r="U3" s="66"/>
      <c r="V3" s="66"/>
      <c r="W3" s="66"/>
      <c r="X3" s="7">
        <f>E3-F3-G3-H3-I3</f>
        <v>12300</v>
      </c>
    </row>
    <row r="4" spans="1:24">
      <c r="A4" s="18">
        <v>2</v>
      </c>
      <c r="B4" s="66" t="s">
        <v>26</v>
      </c>
      <c r="C4" s="18" t="s">
        <v>0</v>
      </c>
      <c r="D4" s="18" t="s">
        <v>1</v>
      </c>
      <c r="E4" s="7">
        <v>3025</v>
      </c>
      <c r="F4" s="66">
        <v>325</v>
      </c>
      <c r="G4" s="66">
        <v>775</v>
      </c>
      <c r="H4" s="66">
        <v>400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151"/>
      <c r="U4" s="66"/>
      <c r="V4" s="66"/>
      <c r="W4" s="66"/>
      <c r="X4" s="7">
        <f t="shared" ref="X4:X20" si="0">E4-F4-G4-H4-I4</f>
        <v>1525</v>
      </c>
    </row>
    <row r="5" spans="1:24">
      <c r="A5" s="18">
        <v>3</v>
      </c>
      <c r="B5" s="66" t="s">
        <v>27</v>
      </c>
      <c r="C5" s="18" t="s">
        <v>0</v>
      </c>
      <c r="D5" s="18" t="s">
        <v>1</v>
      </c>
      <c r="E5" s="7">
        <v>2275</v>
      </c>
      <c r="F5" s="66"/>
      <c r="G5" s="66"/>
      <c r="H5" s="66">
        <v>150</v>
      </c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151"/>
      <c r="U5" s="66"/>
      <c r="V5" s="66"/>
      <c r="W5" s="66"/>
      <c r="X5" s="7">
        <f t="shared" si="0"/>
        <v>2125</v>
      </c>
    </row>
    <row r="6" spans="1:24">
      <c r="A6" s="18">
        <v>4</v>
      </c>
      <c r="B6" s="66" t="s">
        <v>28</v>
      </c>
      <c r="C6" s="18" t="s">
        <v>0</v>
      </c>
      <c r="D6" s="18" t="s">
        <v>1</v>
      </c>
      <c r="E6" s="7">
        <v>5000</v>
      </c>
      <c r="F6" s="66">
        <v>800</v>
      </c>
      <c r="G6" s="66">
        <v>550</v>
      </c>
      <c r="H6" s="66">
        <v>650</v>
      </c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151"/>
      <c r="U6" s="66"/>
      <c r="V6" s="66"/>
      <c r="W6" s="66"/>
      <c r="X6" s="7">
        <f t="shared" si="0"/>
        <v>3000</v>
      </c>
    </row>
    <row r="7" spans="1:24">
      <c r="A7" s="18">
        <v>5</v>
      </c>
      <c r="B7" s="66" t="s">
        <v>106</v>
      </c>
      <c r="C7" s="18" t="s">
        <v>2</v>
      </c>
      <c r="D7" s="18" t="s">
        <v>1</v>
      </c>
      <c r="E7" s="7">
        <v>600</v>
      </c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151"/>
      <c r="U7" s="66"/>
      <c r="V7" s="66"/>
      <c r="W7" s="66"/>
      <c r="X7" s="7">
        <f t="shared" si="0"/>
        <v>600</v>
      </c>
    </row>
    <row r="8" spans="1:24">
      <c r="A8" s="18">
        <v>6</v>
      </c>
      <c r="B8" s="66" t="s">
        <v>30</v>
      </c>
      <c r="C8" s="18" t="s">
        <v>2</v>
      </c>
      <c r="D8" s="18" t="s">
        <v>1</v>
      </c>
      <c r="E8" s="7">
        <v>2050</v>
      </c>
      <c r="F8" s="66">
        <v>400</v>
      </c>
      <c r="G8" s="66">
        <v>400</v>
      </c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151"/>
      <c r="U8" s="66"/>
      <c r="V8" s="66"/>
      <c r="W8" s="66"/>
      <c r="X8" s="7">
        <f t="shared" si="0"/>
        <v>1250</v>
      </c>
    </row>
    <row r="9" spans="1:24">
      <c r="A9" s="18">
        <v>7</v>
      </c>
      <c r="B9" s="66" t="s">
        <v>166</v>
      </c>
      <c r="C9" s="18" t="s">
        <v>2</v>
      </c>
      <c r="D9" s="18" t="s">
        <v>1</v>
      </c>
      <c r="E9" s="7">
        <v>1000</v>
      </c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151"/>
      <c r="U9" s="66"/>
      <c r="V9" s="66"/>
      <c r="W9" s="66"/>
      <c r="X9" s="7">
        <f t="shared" si="0"/>
        <v>1000</v>
      </c>
    </row>
    <row r="10" spans="1:24">
      <c r="A10" s="18">
        <v>8</v>
      </c>
      <c r="B10" s="66" t="s">
        <v>31</v>
      </c>
      <c r="C10" s="18" t="s">
        <v>2</v>
      </c>
      <c r="D10" s="18" t="s">
        <v>1</v>
      </c>
      <c r="E10" s="7">
        <v>100</v>
      </c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151"/>
      <c r="U10" s="66"/>
      <c r="V10" s="66"/>
      <c r="W10" s="66"/>
      <c r="X10" s="7">
        <f t="shared" si="0"/>
        <v>100</v>
      </c>
    </row>
    <row r="11" spans="1:24">
      <c r="A11" s="18">
        <v>9</v>
      </c>
      <c r="B11" s="66" t="s">
        <v>33</v>
      </c>
      <c r="C11" s="18" t="s">
        <v>2</v>
      </c>
      <c r="D11" s="18" t="s">
        <v>1</v>
      </c>
      <c r="E11" s="7">
        <v>0</v>
      </c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151"/>
      <c r="U11" s="66"/>
      <c r="V11" s="66"/>
      <c r="W11" s="66"/>
      <c r="X11" s="7">
        <f t="shared" si="0"/>
        <v>0</v>
      </c>
    </row>
    <row r="12" spans="1:24">
      <c r="A12" s="18">
        <v>10</v>
      </c>
      <c r="B12" s="66" t="s">
        <v>34</v>
      </c>
      <c r="C12" s="18" t="s">
        <v>2</v>
      </c>
      <c r="D12" s="18" t="s">
        <v>1</v>
      </c>
      <c r="E12" s="7">
        <v>5200</v>
      </c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151"/>
      <c r="U12" s="66"/>
      <c r="V12" s="66"/>
      <c r="W12" s="66"/>
      <c r="X12" s="7">
        <f t="shared" si="0"/>
        <v>5200</v>
      </c>
    </row>
    <row r="13" spans="1:24">
      <c r="A13" s="18">
        <v>11</v>
      </c>
      <c r="B13" s="66" t="s">
        <v>74</v>
      </c>
      <c r="C13" s="18" t="s">
        <v>2</v>
      </c>
      <c r="D13" s="18" t="s">
        <v>1</v>
      </c>
      <c r="E13" s="7">
        <v>0</v>
      </c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151"/>
      <c r="U13" s="66"/>
      <c r="V13" s="66"/>
      <c r="W13" s="66"/>
      <c r="X13" s="7">
        <f t="shared" si="0"/>
        <v>0</v>
      </c>
    </row>
    <row r="14" spans="1:24">
      <c r="A14" s="18">
        <v>12</v>
      </c>
      <c r="B14" s="66" t="s">
        <v>35</v>
      </c>
      <c r="C14" s="18" t="s">
        <v>3</v>
      </c>
      <c r="D14" s="18" t="s">
        <v>1</v>
      </c>
      <c r="E14" s="7">
        <v>2750</v>
      </c>
      <c r="F14" s="66">
        <v>325</v>
      </c>
      <c r="G14" s="66">
        <v>275</v>
      </c>
      <c r="H14" s="66">
        <v>250</v>
      </c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151"/>
      <c r="U14" s="66"/>
      <c r="V14" s="66"/>
      <c r="W14" s="66"/>
      <c r="X14" s="7">
        <f t="shared" si="0"/>
        <v>1900</v>
      </c>
    </row>
    <row r="15" spans="1:24">
      <c r="A15" s="18">
        <v>13</v>
      </c>
      <c r="B15" s="66" t="s">
        <v>36</v>
      </c>
      <c r="C15" s="18" t="s">
        <v>2</v>
      </c>
      <c r="D15" s="18" t="s">
        <v>1</v>
      </c>
      <c r="E15" s="7">
        <v>150</v>
      </c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151"/>
      <c r="U15" s="66"/>
      <c r="V15" s="66"/>
      <c r="W15" s="66"/>
      <c r="X15" s="7">
        <f t="shared" si="0"/>
        <v>150</v>
      </c>
    </row>
    <row r="16" spans="1:24">
      <c r="A16" s="18">
        <v>14</v>
      </c>
      <c r="B16" s="66" t="s">
        <v>52</v>
      </c>
      <c r="C16" s="18" t="s">
        <v>37</v>
      </c>
      <c r="D16" s="18" t="s">
        <v>1</v>
      </c>
      <c r="E16" s="7">
        <v>350</v>
      </c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151"/>
      <c r="U16" s="66"/>
      <c r="V16" s="66"/>
      <c r="W16" s="66"/>
      <c r="X16" s="7">
        <f t="shared" si="0"/>
        <v>350</v>
      </c>
    </row>
    <row r="17" spans="1:24">
      <c r="A17" s="18">
        <v>15</v>
      </c>
      <c r="B17" s="66" t="s">
        <v>184</v>
      </c>
      <c r="C17" s="18" t="s">
        <v>185</v>
      </c>
      <c r="D17" s="18" t="s">
        <v>1</v>
      </c>
      <c r="E17" s="7">
        <v>500</v>
      </c>
      <c r="F17" s="66"/>
      <c r="G17" s="66"/>
      <c r="H17" s="66"/>
      <c r="I17" s="66"/>
      <c r="J17" s="66"/>
      <c r="K17" s="66"/>
      <c r="L17" s="66"/>
      <c r="M17" s="66"/>
      <c r="N17" s="66"/>
      <c r="O17" s="151"/>
      <c r="P17" s="66"/>
      <c r="Q17" s="66"/>
      <c r="R17" s="66"/>
      <c r="S17" s="66"/>
      <c r="T17" s="66"/>
      <c r="U17" s="66"/>
      <c r="V17" s="66"/>
      <c r="W17" s="66"/>
      <c r="X17" s="7">
        <f t="shared" si="0"/>
        <v>500</v>
      </c>
    </row>
    <row r="18" spans="1:24">
      <c r="A18" s="18">
        <v>16</v>
      </c>
      <c r="B18" s="162" t="s">
        <v>158</v>
      </c>
      <c r="C18" s="18" t="s">
        <v>2</v>
      </c>
      <c r="D18" s="18" t="s">
        <v>1</v>
      </c>
      <c r="E18" s="7">
        <v>0</v>
      </c>
      <c r="F18" s="66"/>
      <c r="G18" s="66"/>
      <c r="H18" s="66"/>
      <c r="I18" s="66"/>
      <c r="J18" s="66"/>
      <c r="K18" s="66"/>
      <c r="L18" s="66"/>
      <c r="M18" s="66"/>
      <c r="N18" s="66"/>
      <c r="O18" s="151"/>
      <c r="P18" s="66"/>
      <c r="Q18" s="66"/>
      <c r="R18" s="66"/>
      <c r="S18" s="66"/>
      <c r="T18" s="66"/>
      <c r="U18" s="66"/>
      <c r="V18" s="66"/>
      <c r="W18" s="66"/>
      <c r="X18" s="7">
        <f t="shared" si="0"/>
        <v>0</v>
      </c>
    </row>
    <row r="19" spans="1:24">
      <c r="A19" s="18">
        <v>17</v>
      </c>
      <c r="B19" s="162" t="s">
        <v>199</v>
      </c>
      <c r="C19" s="18" t="s">
        <v>2</v>
      </c>
      <c r="D19" s="18" t="s">
        <v>1</v>
      </c>
      <c r="E19" s="7">
        <v>1750</v>
      </c>
      <c r="F19" s="66">
        <v>100</v>
      </c>
      <c r="G19" s="66">
        <v>100</v>
      </c>
      <c r="H19" s="66">
        <v>300</v>
      </c>
      <c r="I19" s="66"/>
      <c r="J19" s="66"/>
      <c r="K19" s="66"/>
      <c r="L19" s="66"/>
      <c r="M19" s="66"/>
      <c r="N19" s="66"/>
      <c r="O19" s="151"/>
      <c r="P19" s="66"/>
      <c r="Q19" s="66"/>
      <c r="R19" s="66"/>
      <c r="S19" s="66"/>
      <c r="T19" s="66"/>
      <c r="U19" s="66"/>
      <c r="V19" s="66"/>
      <c r="W19" s="66"/>
      <c r="X19" s="7">
        <f t="shared" si="0"/>
        <v>1250</v>
      </c>
    </row>
    <row r="20" spans="1:24">
      <c r="A20" s="18">
        <v>18</v>
      </c>
      <c r="B20" s="18" t="s">
        <v>179</v>
      </c>
      <c r="C20" s="18"/>
      <c r="D20" s="18" t="s">
        <v>1</v>
      </c>
      <c r="E20" s="7">
        <v>1125</v>
      </c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7">
        <f t="shared" si="0"/>
        <v>1125</v>
      </c>
    </row>
    <row r="21" spans="1:24" ht="15.75">
      <c r="A21" s="228"/>
      <c r="B21" s="229"/>
      <c r="C21" s="230"/>
      <c r="D21" s="16" t="s">
        <v>51</v>
      </c>
      <c r="E21" s="15">
        <f>SUM(E3:E18)</f>
        <v>35300</v>
      </c>
      <c r="F21" s="127">
        <f>SUM(F3:F17)</f>
        <v>1850</v>
      </c>
      <c r="G21" s="127"/>
      <c r="H21" s="127"/>
      <c r="I21" s="127">
        <f>SUM(I3:I17)</f>
        <v>0</v>
      </c>
      <c r="J21" s="127">
        <f t="shared" ref="J21:O21" si="1">SUM(J3:J17)</f>
        <v>0</v>
      </c>
      <c r="K21" s="127"/>
      <c r="L21" s="127">
        <f t="shared" si="1"/>
        <v>0</v>
      </c>
      <c r="M21" s="127">
        <f t="shared" si="1"/>
        <v>0</v>
      </c>
      <c r="N21" s="127">
        <f t="shared" si="1"/>
        <v>0</v>
      </c>
      <c r="O21" s="127">
        <f t="shared" si="1"/>
        <v>0</v>
      </c>
      <c r="P21" s="127"/>
      <c r="Q21" s="127"/>
      <c r="R21" s="127">
        <f>SUM(R3:R17)</f>
        <v>0</v>
      </c>
      <c r="S21" s="127"/>
      <c r="T21" s="127"/>
      <c r="U21" s="127">
        <f>SUM(U3:U17)</f>
        <v>0</v>
      </c>
      <c r="V21" s="127"/>
      <c r="W21" s="127">
        <f>SUM(W3:W17)</f>
        <v>0</v>
      </c>
      <c r="X21" s="7"/>
    </row>
    <row r="22" spans="1:24" ht="15.75">
      <c r="A22" s="21"/>
      <c r="B22" s="21"/>
      <c r="C22" s="21"/>
      <c r="D22" s="54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</row>
    <row r="23" spans="1:24" ht="15.75">
      <c r="A23" s="51"/>
      <c r="B23" s="51" t="s">
        <v>8</v>
      </c>
      <c r="C23" s="51" t="s">
        <v>67</v>
      </c>
      <c r="D23" s="51" t="s">
        <v>68</v>
      </c>
      <c r="I23" s="68"/>
    </row>
    <row r="24" spans="1:24">
      <c r="A24" s="18">
        <v>1</v>
      </c>
      <c r="B24" s="66" t="s">
        <v>32</v>
      </c>
      <c r="C24" s="18">
        <f t="shared" ref="C24:C41" si="2">X3</f>
        <v>12300</v>
      </c>
      <c r="D24" s="50">
        <v>1000</v>
      </c>
      <c r="I24" s="68"/>
    </row>
    <row r="25" spans="1:24">
      <c r="A25" s="18">
        <v>2</v>
      </c>
      <c r="B25" s="66" t="s">
        <v>26</v>
      </c>
      <c r="C25" s="18">
        <f t="shared" si="2"/>
        <v>1525</v>
      </c>
      <c r="D25" s="50">
        <v>1000</v>
      </c>
      <c r="F25" s="68"/>
      <c r="G25" s="68"/>
      <c r="H25" s="68"/>
      <c r="I25" s="69"/>
      <c r="J25" s="68"/>
      <c r="K25" s="68"/>
    </row>
    <row r="26" spans="1:24">
      <c r="A26" s="18">
        <v>3</v>
      </c>
      <c r="B26" s="66" t="s">
        <v>27</v>
      </c>
      <c r="C26" s="18">
        <f t="shared" si="2"/>
        <v>2125</v>
      </c>
      <c r="D26" s="50">
        <v>1000</v>
      </c>
      <c r="F26" s="68"/>
      <c r="G26" s="68"/>
      <c r="H26" s="68"/>
      <c r="I26" s="70"/>
      <c r="J26" s="68"/>
      <c r="K26" s="68"/>
    </row>
    <row r="27" spans="1:24">
      <c r="A27" s="18">
        <v>4</v>
      </c>
      <c r="B27" s="66" t="s">
        <v>28</v>
      </c>
      <c r="C27" s="18">
        <f t="shared" si="2"/>
        <v>3000</v>
      </c>
      <c r="D27" s="50">
        <v>1500</v>
      </c>
      <c r="F27" s="68"/>
      <c r="G27" s="68"/>
      <c r="H27" s="68"/>
      <c r="I27" s="70"/>
      <c r="J27" s="68"/>
      <c r="K27" s="68"/>
    </row>
    <row r="28" spans="1:24">
      <c r="A28" s="18">
        <v>5</v>
      </c>
      <c r="B28" s="66" t="s">
        <v>29</v>
      </c>
      <c r="C28" s="18">
        <f t="shared" si="2"/>
        <v>600</v>
      </c>
      <c r="D28" s="50">
        <v>500</v>
      </c>
      <c r="F28" s="68"/>
      <c r="G28" s="68"/>
      <c r="H28" s="68"/>
      <c r="I28" s="70"/>
      <c r="J28" s="68"/>
      <c r="K28" s="68"/>
    </row>
    <row r="29" spans="1:24">
      <c r="A29" s="18">
        <v>6</v>
      </c>
      <c r="B29" s="66" t="s">
        <v>30</v>
      </c>
      <c r="C29" s="18">
        <f t="shared" si="2"/>
        <v>1250</v>
      </c>
      <c r="D29" s="50">
        <v>500</v>
      </c>
      <c r="F29" s="68"/>
      <c r="G29" s="68"/>
      <c r="H29" s="68"/>
      <c r="I29" s="70"/>
      <c r="J29" s="68"/>
      <c r="K29" s="68"/>
    </row>
    <row r="30" spans="1:24">
      <c r="A30" s="18">
        <v>7</v>
      </c>
      <c r="B30" s="66" t="s">
        <v>166</v>
      </c>
      <c r="C30" s="18">
        <f t="shared" si="2"/>
        <v>1000</v>
      </c>
      <c r="D30" s="50">
        <v>500</v>
      </c>
      <c r="F30" s="68"/>
      <c r="G30" s="68"/>
      <c r="H30" s="68"/>
      <c r="I30" s="70"/>
      <c r="J30" s="68"/>
      <c r="K30" s="68"/>
    </row>
    <row r="31" spans="1:24">
      <c r="A31" s="18">
        <v>8</v>
      </c>
      <c r="B31" s="66" t="s">
        <v>31</v>
      </c>
      <c r="C31" s="18">
        <f t="shared" si="2"/>
        <v>100</v>
      </c>
      <c r="D31" s="50">
        <v>200</v>
      </c>
      <c r="F31" s="68"/>
      <c r="G31" s="68"/>
      <c r="H31" s="68"/>
      <c r="I31" s="70"/>
      <c r="J31" s="68"/>
      <c r="K31" s="68"/>
    </row>
    <row r="32" spans="1:24">
      <c r="A32" s="18">
        <v>9</v>
      </c>
      <c r="B32" s="66" t="s">
        <v>33</v>
      </c>
      <c r="C32" s="18">
        <f t="shared" si="2"/>
        <v>0</v>
      </c>
      <c r="D32" s="50">
        <v>500</v>
      </c>
      <c r="F32" s="68"/>
      <c r="G32" s="68"/>
      <c r="H32" s="68"/>
      <c r="I32" s="68"/>
      <c r="J32" s="68"/>
      <c r="K32" s="68"/>
    </row>
    <row r="33" spans="1:9">
      <c r="A33" s="18">
        <v>10</v>
      </c>
      <c r="B33" s="66" t="s">
        <v>34</v>
      </c>
      <c r="C33" s="18">
        <f t="shared" si="2"/>
        <v>5200</v>
      </c>
      <c r="D33" s="50">
        <v>1000</v>
      </c>
      <c r="I33" s="68"/>
    </row>
    <row r="34" spans="1:9">
      <c r="A34" s="18">
        <v>11</v>
      </c>
      <c r="B34" s="66" t="s">
        <v>74</v>
      </c>
      <c r="C34" s="18">
        <f t="shared" si="2"/>
        <v>0</v>
      </c>
      <c r="D34" s="50">
        <v>1000</v>
      </c>
      <c r="I34" s="68"/>
    </row>
    <row r="35" spans="1:9">
      <c r="A35" s="18">
        <v>12</v>
      </c>
      <c r="B35" s="66" t="s">
        <v>35</v>
      </c>
      <c r="C35" s="18">
        <f t="shared" si="2"/>
        <v>1900</v>
      </c>
      <c r="D35" s="50">
        <v>1000</v>
      </c>
      <c r="I35" s="68"/>
    </row>
    <row r="36" spans="1:9">
      <c r="A36" s="18">
        <v>13</v>
      </c>
      <c r="B36" s="66" t="s">
        <v>36</v>
      </c>
      <c r="C36" s="18">
        <f t="shared" si="2"/>
        <v>150</v>
      </c>
      <c r="D36" s="50">
        <v>100</v>
      </c>
    </row>
    <row r="37" spans="1:9">
      <c r="A37" s="18">
        <v>14</v>
      </c>
      <c r="B37" s="66" t="s">
        <v>52</v>
      </c>
      <c r="C37" s="18">
        <f t="shared" si="2"/>
        <v>350</v>
      </c>
      <c r="D37" s="50">
        <v>100</v>
      </c>
    </row>
    <row r="38" spans="1:9">
      <c r="A38" s="18">
        <v>15</v>
      </c>
      <c r="B38" s="66" t="s">
        <v>184</v>
      </c>
      <c r="C38" s="18">
        <f t="shared" si="2"/>
        <v>500</v>
      </c>
      <c r="D38" s="50"/>
    </row>
    <row r="39" spans="1:9">
      <c r="A39" s="18">
        <v>16</v>
      </c>
      <c r="B39" s="162" t="s">
        <v>158</v>
      </c>
      <c r="C39" s="18">
        <f t="shared" si="2"/>
        <v>0</v>
      </c>
    </row>
    <row r="40" spans="1:9">
      <c r="A40" s="18">
        <v>17</v>
      </c>
      <c r="B40" s="162" t="s">
        <v>199</v>
      </c>
      <c r="C40" s="18">
        <f t="shared" si="2"/>
        <v>1250</v>
      </c>
    </row>
    <row r="41" spans="1:9">
      <c r="A41" s="18">
        <v>18</v>
      </c>
      <c r="B41" s="66" t="s">
        <v>179</v>
      </c>
      <c r="C41" s="18">
        <f t="shared" si="2"/>
        <v>1125</v>
      </c>
    </row>
  </sheetData>
  <mergeCells count="2">
    <mergeCell ref="A1:E1"/>
    <mergeCell ref="A21:C21"/>
  </mergeCells>
  <conditionalFormatting sqref="C10:C11 C1:C7 C14:C16">
    <cfRule type="expression" priority="3">
      <formula>C23&lt;B23</formula>
    </cfRule>
  </conditionalFormatting>
  <conditionalFormatting sqref="C12:C13 C8:C9">
    <cfRule type="expression" priority="5">
      <formula>C31&lt;B31</formula>
    </cfRule>
  </conditionalFormatting>
  <conditionalFormatting sqref="C39:C1048558">
    <cfRule type="expression" priority="2">
      <formula>C56&lt;B56</formula>
    </cfRule>
  </conditionalFormatting>
  <conditionalFormatting sqref="C23:C38">
    <cfRule type="expression" priority="4">
      <formula>C39&lt;B39</formula>
    </cfRule>
  </conditionalFormatting>
  <conditionalFormatting sqref="C24:C41">
    <cfRule type="expression" dxfId="2" priority="1">
      <formula>$D24&gt;$C24</formula>
    </cfRule>
  </conditionalFormatting>
  <conditionalFormatting sqref="C20">
    <cfRule type="expression" priority="6">
      <formula>C40&lt;B40</formula>
    </cfRule>
  </conditionalFormatting>
  <conditionalFormatting sqref="C22">
    <cfRule type="expression" priority="7">
      <formula>#REF!&lt;#REF!</formula>
    </cfRule>
  </conditionalFormatting>
  <conditionalFormatting sqref="C31:C38">
    <cfRule type="expression" priority="8">
      <formula>C46&lt;B46</formula>
    </cfRule>
  </conditionalFormatting>
  <conditionalFormatting sqref="C39:C41">
    <cfRule type="expression" priority="9">
      <formula>C57&lt;B57</formula>
    </cfRule>
  </conditionalFormatting>
  <conditionalFormatting sqref="C1048559:C1048562">
    <cfRule type="expression" priority="10">
      <formula>C1&lt;B1</formula>
    </cfRule>
  </conditionalFormatting>
  <conditionalFormatting sqref="C17">
    <cfRule type="expression" priority="11">
      <formula>#REF!&lt;#REF!</formula>
    </cfRule>
  </conditionalFormatting>
  <conditionalFormatting sqref="C21">
    <cfRule type="expression" priority="12">
      <formula>#REF!&lt;#REF!</formula>
    </cfRule>
  </conditionalFormatting>
  <conditionalFormatting sqref="C1048564:C1048576">
    <cfRule type="expression" priority="13">
      <formula>C1&lt;B1</formula>
    </cfRule>
  </conditionalFormatting>
  <conditionalFormatting sqref="C18:C19">
    <cfRule type="expression" priority="14">
      <formula>C39&lt;B39</formula>
    </cfRule>
  </conditionalFormatting>
  <conditionalFormatting sqref="C1048563">
    <cfRule type="expression" priority="15">
      <formula>C1&lt;B1</formula>
    </cfRule>
  </conditionalFormatting>
  <pageMargins left="0.7" right="0.7" top="0.75" bottom="0.75" header="0.3" footer="0.3"/>
  <pageSetup scale="6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tabSelected="1" zoomScaleNormal="100" workbookViewId="0">
      <pane xSplit="6" ySplit="2" topLeftCell="R3" activePane="bottomRight" state="frozen"/>
      <selection pane="topRight" activeCell="F1" sqref="F1"/>
      <selection pane="bottomLeft" activeCell="A3" sqref="A3"/>
      <selection pane="bottomRight" activeCell="S27" sqref="S27"/>
    </sheetView>
  </sheetViews>
  <sheetFormatPr defaultColWidth="9" defaultRowHeight="15"/>
  <cols>
    <col min="1" max="1" width="9" style="2"/>
    <col min="2" max="2" width="30.5703125" style="2" bestFit="1" customWidth="1"/>
    <col min="3" max="3" width="15" style="2" customWidth="1"/>
    <col min="4" max="4" width="17" style="2" customWidth="1"/>
    <col min="5" max="5" width="17" style="167" customWidth="1"/>
    <col min="6" max="6" width="9" style="167" customWidth="1"/>
    <col min="7" max="7" width="12" style="2" bestFit="1" customWidth="1"/>
    <col min="8" max="8" width="12.5703125" style="2" bestFit="1" customWidth="1"/>
    <col min="9" max="9" width="12.5703125" style="167" customWidth="1"/>
    <col min="10" max="10" width="12.5703125" style="2" bestFit="1" customWidth="1"/>
    <col min="11" max="11" width="10.42578125" style="2" bestFit="1" customWidth="1"/>
    <col min="12" max="12" width="10.42578125" style="167" customWidth="1"/>
    <col min="13" max="14" width="10.42578125" style="2" bestFit="1" customWidth="1"/>
    <col min="15" max="15" width="10.42578125" style="167" bestFit="1" customWidth="1"/>
    <col min="16" max="16" width="10.42578125" style="167" customWidth="1"/>
    <col min="17" max="17" width="10.42578125" style="167" bestFit="1" customWidth="1"/>
    <col min="18" max="18" width="10.42578125" style="167" customWidth="1"/>
    <col min="19" max="19" width="16.28515625" style="167" bestFit="1" customWidth="1"/>
    <col min="20" max="24" width="10.42578125" style="167" bestFit="1" customWidth="1"/>
    <col min="25" max="41" width="10.42578125" style="167" hidden="1" customWidth="1"/>
    <col min="42" max="42" width="10" style="2" customWidth="1"/>
    <col min="44" max="44" width="11.140625" customWidth="1"/>
    <col min="45" max="45" width="33.42578125" bestFit="1" customWidth="1"/>
  </cols>
  <sheetData>
    <row r="1" spans="1:42" ht="28.5">
      <c r="A1" s="238" t="s">
        <v>25</v>
      </c>
      <c r="B1" s="239"/>
      <c r="C1" s="240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2"/>
    </row>
    <row r="2" spans="1:42" s="1" customFormat="1" ht="32.25" customHeight="1">
      <c r="A2" s="5" t="s">
        <v>57</v>
      </c>
      <c r="B2" s="5" t="s">
        <v>56</v>
      </c>
      <c r="C2" s="5" t="s">
        <v>55</v>
      </c>
      <c r="D2" s="5" t="s">
        <v>54</v>
      </c>
      <c r="E2" s="212" t="s">
        <v>256</v>
      </c>
      <c r="F2" s="172" t="s">
        <v>254</v>
      </c>
      <c r="G2" s="169">
        <v>46174</v>
      </c>
      <c r="H2" s="169">
        <v>46175</v>
      </c>
      <c r="I2" s="222" t="s">
        <v>263</v>
      </c>
      <c r="J2" s="169">
        <v>46176</v>
      </c>
      <c r="K2" s="169">
        <v>46177</v>
      </c>
      <c r="L2" s="222" t="s">
        <v>265</v>
      </c>
      <c r="M2" s="169">
        <v>46178</v>
      </c>
      <c r="N2" s="169">
        <v>46179</v>
      </c>
      <c r="O2" s="169">
        <v>46180</v>
      </c>
      <c r="P2" s="222" t="s">
        <v>272</v>
      </c>
      <c r="Q2" s="169">
        <v>46181</v>
      </c>
      <c r="R2" s="222" t="s">
        <v>280</v>
      </c>
      <c r="S2" s="261" t="s">
        <v>281</v>
      </c>
      <c r="T2" s="169">
        <v>46182</v>
      </c>
      <c r="U2" s="169">
        <v>46183</v>
      </c>
      <c r="V2" s="169">
        <v>46184</v>
      </c>
      <c r="W2" s="169">
        <v>46185</v>
      </c>
      <c r="X2" s="169">
        <v>46186</v>
      </c>
      <c r="Y2" s="169">
        <v>46187</v>
      </c>
      <c r="Z2" s="169">
        <v>46188</v>
      </c>
      <c r="AA2" s="169">
        <v>46189</v>
      </c>
      <c r="AB2" s="169">
        <v>46190</v>
      </c>
      <c r="AC2" s="169">
        <v>46191</v>
      </c>
      <c r="AD2" s="169">
        <v>46192</v>
      </c>
      <c r="AE2" s="169">
        <v>46193</v>
      </c>
      <c r="AF2" s="169">
        <v>46194</v>
      </c>
      <c r="AG2" s="169">
        <v>46195</v>
      </c>
      <c r="AH2" s="169">
        <v>46196</v>
      </c>
      <c r="AI2" s="169">
        <v>46197</v>
      </c>
      <c r="AJ2" s="169">
        <v>46198</v>
      </c>
      <c r="AK2" s="169">
        <v>46199</v>
      </c>
      <c r="AL2" s="169">
        <v>46200</v>
      </c>
      <c r="AM2" s="169">
        <v>46201</v>
      </c>
      <c r="AN2" s="169">
        <v>46202</v>
      </c>
      <c r="AO2" s="169">
        <v>46203</v>
      </c>
      <c r="AP2" s="198" t="s">
        <v>5</v>
      </c>
    </row>
    <row r="3" spans="1:42">
      <c r="A3" s="170">
        <v>1</v>
      </c>
      <c r="B3" s="66" t="s">
        <v>32</v>
      </c>
      <c r="C3" s="170" t="s">
        <v>0</v>
      </c>
      <c r="D3" s="170" t="s">
        <v>1</v>
      </c>
      <c r="E3" s="170">
        <f>SUM(AP3)</f>
        <v>1425</v>
      </c>
      <c r="F3" s="195">
        <v>1475</v>
      </c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50">
        <v>50</v>
      </c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196">
        <f>F3-G3-H3+I3-J3-K3+L3-M3-N3-O3+P3-Q3+R3-S3-T3-U3-V3-W3-X3-Y3-Z3-AA3-AB3-AC3-AD3-AE3-AF3-AG3-AH3-AI3-AJ3-AK3-AL3-AM3-AN3-AO3</f>
        <v>1425</v>
      </c>
    </row>
    <row r="4" spans="1:42">
      <c r="A4" s="170">
        <v>2</v>
      </c>
      <c r="B4" s="66" t="s">
        <v>26</v>
      </c>
      <c r="C4" s="170" t="s">
        <v>0</v>
      </c>
      <c r="D4" s="170" t="s">
        <v>1</v>
      </c>
      <c r="E4" s="170">
        <f t="shared" ref="E4:E25" si="0">SUM(AP4)</f>
        <v>7325</v>
      </c>
      <c r="F4" s="195">
        <v>3200</v>
      </c>
      <c r="G4" s="66"/>
      <c r="H4" s="66"/>
      <c r="I4" s="66"/>
      <c r="J4" s="66">
        <v>200</v>
      </c>
      <c r="K4" s="66">
        <v>275</v>
      </c>
      <c r="L4" s="66"/>
      <c r="M4" s="66">
        <v>300</v>
      </c>
      <c r="N4" s="66"/>
      <c r="O4" s="66"/>
      <c r="P4" s="50">
        <v>5000</v>
      </c>
      <c r="Q4" s="66">
        <v>100</v>
      </c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196">
        <f t="shared" ref="AP4:AP25" si="1">F4-G4-H4+I4-J4-K4+L4-M4-N4-O4+P4-Q4+R4-S4-T4-U4-V4-W4-X4-Y4-Z4-AA4-AB4-AC4-AD4-AE4-AF4-AG4-AH4-AI4-AJ4-AK4-AL4-AM4-AN4-AO4</f>
        <v>7325</v>
      </c>
    </row>
    <row r="5" spans="1:42">
      <c r="A5" s="170">
        <v>3</v>
      </c>
      <c r="B5" s="66" t="s">
        <v>27</v>
      </c>
      <c r="C5" s="170" t="s">
        <v>0</v>
      </c>
      <c r="D5" s="170" t="s">
        <v>1</v>
      </c>
      <c r="E5" s="170">
        <f t="shared" si="0"/>
        <v>1925</v>
      </c>
      <c r="F5" s="195">
        <v>2025</v>
      </c>
      <c r="G5" s="66">
        <v>25</v>
      </c>
      <c r="H5" s="66">
        <v>75</v>
      </c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196">
        <f t="shared" si="1"/>
        <v>1925</v>
      </c>
    </row>
    <row r="6" spans="1:42">
      <c r="A6" s="170">
        <v>4</v>
      </c>
      <c r="B6" s="66" t="s">
        <v>28</v>
      </c>
      <c r="C6" s="170" t="s">
        <v>0</v>
      </c>
      <c r="D6" s="170" t="s">
        <v>1</v>
      </c>
      <c r="E6" s="170">
        <f t="shared" si="0"/>
        <v>0</v>
      </c>
      <c r="F6" s="195">
        <v>3075</v>
      </c>
      <c r="G6" s="66"/>
      <c r="H6" s="66">
        <v>275</v>
      </c>
      <c r="I6" s="66"/>
      <c r="J6" s="66">
        <v>675</v>
      </c>
      <c r="K6" s="66">
        <v>700</v>
      </c>
      <c r="L6" s="66"/>
      <c r="M6" s="66">
        <v>50</v>
      </c>
      <c r="N6" s="66">
        <v>625</v>
      </c>
      <c r="O6" s="66"/>
      <c r="P6" s="66"/>
      <c r="Q6" s="66">
        <v>600</v>
      </c>
      <c r="R6" s="66"/>
      <c r="S6" s="66"/>
      <c r="T6" s="66">
        <v>150</v>
      </c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196">
        <f t="shared" si="1"/>
        <v>0</v>
      </c>
    </row>
    <row r="7" spans="1:42">
      <c r="A7" s="170">
        <v>5</v>
      </c>
      <c r="B7" s="66" t="s">
        <v>106</v>
      </c>
      <c r="C7" s="170" t="s">
        <v>2</v>
      </c>
      <c r="D7" s="170" t="s">
        <v>1</v>
      </c>
      <c r="E7" s="170">
        <f t="shared" si="0"/>
        <v>325</v>
      </c>
      <c r="F7" s="195">
        <v>325</v>
      </c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196">
        <f t="shared" si="1"/>
        <v>325</v>
      </c>
    </row>
    <row r="8" spans="1:42">
      <c r="A8" s="170">
        <v>6</v>
      </c>
      <c r="B8" s="66" t="s">
        <v>30</v>
      </c>
      <c r="C8" s="170" t="s">
        <v>2</v>
      </c>
      <c r="D8" s="170" t="s">
        <v>1</v>
      </c>
      <c r="E8" s="170">
        <f t="shared" si="0"/>
        <v>1900</v>
      </c>
      <c r="F8" s="195">
        <v>1900</v>
      </c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196">
        <f t="shared" si="1"/>
        <v>1900</v>
      </c>
    </row>
    <row r="9" spans="1:42">
      <c r="A9" s="170">
        <v>7</v>
      </c>
      <c r="B9" s="66" t="s">
        <v>166</v>
      </c>
      <c r="C9" s="170" t="s">
        <v>2</v>
      </c>
      <c r="D9" s="170" t="s">
        <v>1</v>
      </c>
      <c r="E9" s="170">
        <f t="shared" si="0"/>
        <v>1075</v>
      </c>
      <c r="F9" s="195">
        <v>1075</v>
      </c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196">
        <f t="shared" si="1"/>
        <v>1075</v>
      </c>
    </row>
    <row r="10" spans="1:42">
      <c r="A10" s="170">
        <v>8</v>
      </c>
      <c r="B10" s="66" t="s">
        <v>31</v>
      </c>
      <c r="C10" s="170" t="s">
        <v>2</v>
      </c>
      <c r="D10" s="170" t="s">
        <v>1</v>
      </c>
      <c r="E10" s="170">
        <f t="shared" si="0"/>
        <v>825</v>
      </c>
      <c r="F10" s="195">
        <v>825</v>
      </c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196">
        <f t="shared" si="1"/>
        <v>825</v>
      </c>
    </row>
    <row r="11" spans="1:42">
      <c r="A11" s="170">
        <v>9</v>
      </c>
      <c r="B11" s="66" t="s">
        <v>33</v>
      </c>
      <c r="C11" s="170" t="s">
        <v>2</v>
      </c>
      <c r="D11" s="170" t="s">
        <v>1</v>
      </c>
      <c r="E11" s="170">
        <f t="shared" si="0"/>
        <v>75</v>
      </c>
      <c r="F11" s="195">
        <v>75</v>
      </c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196">
        <f t="shared" si="1"/>
        <v>75</v>
      </c>
    </row>
    <row r="12" spans="1:42">
      <c r="A12" s="170">
        <v>10</v>
      </c>
      <c r="B12" s="66" t="s">
        <v>34</v>
      </c>
      <c r="C12" s="170" t="s">
        <v>2</v>
      </c>
      <c r="D12" s="170" t="s">
        <v>1</v>
      </c>
      <c r="E12" s="170">
        <f t="shared" si="0"/>
        <v>1800</v>
      </c>
      <c r="F12" s="195">
        <v>700</v>
      </c>
      <c r="G12" s="66">
        <v>325</v>
      </c>
      <c r="H12" s="66">
        <v>150</v>
      </c>
      <c r="I12" s="66"/>
      <c r="J12" s="66">
        <v>225</v>
      </c>
      <c r="K12" s="66"/>
      <c r="L12" s="66"/>
      <c r="M12" s="66"/>
      <c r="N12" s="66"/>
      <c r="O12" s="66"/>
      <c r="P12" s="66"/>
      <c r="Q12" s="66"/>
      <c r="R12" s="50">
        <v>2000</v>
      </c>
      <c r="S12" s="66"/>
      <c r="T12" s="66">
        <v>200</v>
      </c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196">
        <f t="shared" si="1"/>
        <v>1800</v>
      </c>
    </row>
    <row r="13" spans="1:42">
      <c r="A13" s="170">
        <v>11</v>
      </c>
      <c r="B13" s="66" t="s">
        <v>74</v>
      </c>
      <c r="C13" s="170" t="s">
        <v>2</v>
      </c>
      <c r="D13" s="170" t="s">
        <v>1</v>
      </c>
      <c r="E13" s="170">
        <f t="shared" si="0"/>
        <v>450</v>
      </c>
      <c r="F13" s="195">
        <v>500</v>
      </c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>
        <v>50</v>
      </c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196">
        <f t="shared" si="1"/>
        <v>450</v>
      </c>
    </row>
    <row r="14" spans="1:42">
      <c r="A14" s="170">
        <v>12</v>
      </c>
      <c r="B14" s="66" t="s">
        <v>35</v>
      </c>
      <c r="C14" s="170" t="s">
        <v>3</v>
      </c>
      <c r="D14" s="170" t="s">
        <v>1</v>
      </c>
      <c r="E14" s="170">
        <f t="shared" si="0"/>
        <v>2750</v>
      </c>
      <c r="F14" s="195">
        <v>2075</v>
      </c>
      <c r="G14" s="66">
        <v>250</v>
      </c>
      <c r="H14" s="66">
        <v>575</v>
      </c>
      <c r="I14" s="66"/>
      <c r="J14" s="66">
        <v>525</v>
      </c>
      <c r="K14" s="66">
        <v>250</v>
      </c>
      <c r="L14" s="50">
        <v>5000</v>
      </c>
      <c r="M14" s="66">
        <v>575</v>
      </c>
      <c r="N14" s="66">
        <v>700</v>
      </c>
      <c r="O14" s="66"/>
      <c r="P14" s="66"/>
      <c r="Q14" s="66">
        <v>700</v>
      </c>
      <c r="R14" s="66"/>
      <c r="S14" s="66"/>
      <c r="T14" s="66">
        <v>750</v>
      </c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196">
        <f t="shared" si="1"/>
        <v>2750</v>
      </c>
    </row>
    <row r="15" spans="1:42">
      <c r="A15" s="170">
        <v>13</v>
      </c>
      <c r="B15" s="66" t="s">
        <v>36</v>
      </c>
      <c r="C15" s="170" t="s">
        <v>2</v>
      </c>
      <c r="D15" s="170" t="s">
        <v>1</v>
      </c>
      <c r="E15" s="170">
        <f t="shared" si="0"/>
        <v>0</v>
      </c>
      <c r="F15" s="195">
        <v>0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196">
        <f t="shared" si="1"/>
        <v>0</v>
      </c>
    </row>
    <row r="16" spans="1:42">
      <c r="A16" s="170">
        <v>14</v>
      </c>
      <c r="B16" s="66" t="s">
        <v>52</v>
      </c>
      <c r="C16" s="170" t="s">
        <v>37</v>
      </c>
      <c r="D16" s="170" t="s">
        <v>1</v>
      </c>
      <c r="E16" s="170">
        <f t="shared" si="0"/>
        <v>0</v>
      </c>
      <c r="F16" s="195">
        <v>0</v>
      </c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196">
        <f t="shared" si="1"/>
        <v>0</v>
      </c>
    </row>
    <row r="17" spans="1:42">
      <c r="A17" s="170">
        <v>15</v>
      </c>
      <c r="B17" s="66" t="s">
        <v>184</v>
      </c>
      <c r="C17" s="170" t="s">
        <v>185</v>
      </c>
      <c r="D17" s="170" t="s">
        <v>1</v>
      </c>
      <c r="E17" s="170">
        <f t="shared" si="0"/>
        <v>0</v>
      </c>
      <c r="F17" s="195">
        <v>0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196">
        <f t="shared" si="1"/>
        <v>0</v>
      </c>
    </row>
    <row r="18" spans="1:42">
      <c r="A18" s="170">
        <v>16</v>
      </c>
      <c r="B18" s="66" t="s">
        <v>158</v>
      </c>
      <c r="C18" s="170" t="s">
        <v>2</v>
      </c>
      <c r="D18" s="170" t="s">
        <v>1</v>
      </c>
      <c r="E18" s="170">
        <f t="shared" si="0"/>
        <v>0</v>
      </c>
      <c r="F18" s="195">
        <v>0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196">
        <f t="shared" si="1"/>
        <v>0</v>
      </c>
    </row>
    <row r="19" spans="1:42">
      <c r="A19" s="170">
        <v>17</v>
      </c>
      <c r="B19" s="66" t="s">
        <v>199</v>
      </c>
      <c r="C19" s="170" t="s">
        <v>2</v>
      </c>
      <c r="D19" s="170" t="s">
        <v>1</v>
      </c>
      <c r="E19" s="170">
        <f t="shared" si="0"/>
        <v>2725</v>
      </c>
      <c r="F19" s="195">
        <v>6500</v>
      </c>
      <c r="G19" s="66">
        <v>1100</v>
      </c>
      <c r="H19" s="66">
        <v>700</v>
      </c>
      <c r="I19" s="66"/>
      <c r="J19" s="66">
        <v>575</v>
      </c>
      <c r="K19" s="66">
        <v>625</v>
      </c>
      <c r="L19" s="66"/>
      <c r="M19" s="66">
        <v>1575</v>
      </c>
      <c r="N19" s="66">
        <v>1125</v>
      </c>
      <c r="O19" s="66"/>
      <c r="P19" s="66"/>
      <c r="Q19" s="66">
        <v>675</v>
      </c>
      <c r="R19" s="50">
        <v>3000</v>
      </c>
      <c r="S19" s="66"/>
      <c r="T19" s="66">
        <v>400</v>
      </c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196">
        <f t="shared" si="1"/>
        <v>2725</v>
      </c>
    </row>
    <row r="20" spans="1:42">
      <c r="A20" s="170">
        <v>18</v>
      </c>
      <c r="B20" s="66" t="s">
        <v>179</v>
      </c>
      <c r="C20" s="170" t="s">
        <v>2</v>
      </c>
      <c r="D20" s="170" t="s">
        <v>1</v>
      </c>
      <c r="E20" s="170">
        <f t="shared" si="0"/>
        <v>450</v>
      </c>
      <c r="F20" s="195">
        <v>450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196">
        <f t="shared" si="1"/>
        <v>450</v>
      </c>
    </row>
    <row r="21" spans="1:42">
      <c r="A21" s="170">
        <v>19</v>
      </c>
      <c r="B21" s="66" t="s">
        <v>206</v>
      </c>
      <c r="C21" s="170" t="s">
        <v>0</v>
      </c>
      <c r="D21" s="170" t="s">
        <v>1</v>
      </c>
      <c r="E21" s="170">
        <f t="shared" si="0"/>
        <v>800</v>
      </c>
      <c r="F21" s="195">
        <v>800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196">
        <f t="shared" si="1"/>
        <v>800</v>
      </c>
    </row>
    <row r="22" spans="1:42">
      <c r="A22" s="170">
        <v>20</v>
      </c>
      <c r="B22" s="66" t="s">
        <v>207</v>
      </c>
      <c r="C22" s="170" t="s">
        <v>0</v>
      </c>
      <c r="D22" s="170" t="s">
        <v>1</v>
      </c>
      <c r="E22" s="170">
        <f t="shared" si="0"/>
        <v>0</v>
      </c>
      <c r="F22" s="195">
        <v>0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196">
        <f t="shared" si="1"/>
        <v>0</v>
      </c>
    </row>
    <row r="23" spans="1:42">
      <c r="A23" s="170">
        <v>21</v>
      </c>
      <c r="B23" s="66" t="s">
        <v>214</v>
      </c>
      <c r="C23" s="170" t="s">
        <v>0</v>
      </c>
      <c r="D23" s="170" t="s">
        <v>1</v>
      </c>
      <c r="E23" s="170">
        <f t="shared" si="0"/>
        <v>175</v>
      </c>
      <c r="F23" s="195">
        <v>400</v>
      </c>
      <c r="G23" s="66"/>
      <c r="H23" s="66"/>
      <c r="I23" s="66"/>
      <c r="J23" s="66"/>
      <c r="K23" s="66">
        <v>25</v>
      </c>
      <c r="L23" s="66"/>
      <c r="M23" s="66">
        <v>75</v>
      </c>
      <c r="N23" s="66">
        <v>50</v>
      </c>
      <c r="O23" s="66"/>
      <c r="P23" s="66"/>
      <c r="Q23" s="66">
        <v>75</v>
      </c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196">
        <f t="shared" si="1"/>
        <v>175</v>
      </c>
    </row>
    <row r="24" spans="1:42">
      <c r="A24" s="170">
        <v>22</v>
      </c>
      <c r="B24" s="66" t="s">
        <v>215</v>
      </c>
      <c r="C24" s="170" t="s">
        <v>0</v>
      </c>
      <c r="D24" s="170" t="s">
        <v>1</v>
      </c>
      <c r="E24" s="170">
        <f t="shared" si="0"/>
        <v>1625</v>
      </c>
      <c r="F24" s="195">
        <v>650</v>
      </c>
      <c r="G24" s="66">
        <v>225</v>
      </c>
      <c r="H24" s="66">
        <v>300</v>
      </c>
      <c r="I24" s="66"/>
      <c r="J24" s="66"/>
      <c r="K24" s="66"/>
      <c r="L24" s="50">
        <v>1500</v>
      </c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196">
        <f t="shared" si="1"/>
        <v>1625</v>
      </c>
    </row>
    <row r="25" spans="1:42">
      <c r="A25" s="170">
        <v>23</v>
      </c>
      <c r="B25" s="66" t="s">
        <v>269</v>
      </c>
      <c r="C25" s="170" t="s">
        <v>0</v>
      </c>
      <c r="D25" s="170" t="s">
        <v>1</v>
      </c>
      <c r="E25" s="170">
        <f t="shared" si="0"/>
        <v>1475</v>
      </c>
      <c r="F25" s="195">
        <v>0</v>
      </c>
      <c r="G25" s="66"/>
      <c r="H25" s="66"/>
      <c r="I25" s="50">
        <v>1500</v>
      </c>
      <c r="J25" s="66"/>
      <c r="K25" s="66"/>
      <c r="L25" s="66"/>
      <c r="M25" s="66"/>
      <c r="N25" s="66">
        <v>25</v>
      </c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196">
        <f t="shared" si="1"/>
        <v>1475</v>
      </c>
    </row>
    <row r="26" spans="1:42" ht="15.75">
      <c r="A26" s="237"/>
      <c r="B26" s="237"/>
      <c r="C26" s="237"/>
      <c r="D26" s="16" t="s">
        <v>51</v>
      </c>
      <c r="E26" s="16">
        <f>SUM(E3:E24)</f>
        <v>25650</v>
      </c>
      <c r="F26" s="15">
        <f>SUM(F3:F25)</f>
        <v>26050</v>
      </c>
      <c r="G26" s="15">
        <f t="shared" ref="G26:AP26" si="2">SUM(G3:G24)</f>
        <v>1925</v>
      </c>
      <c r="H26" s="15">
        <f t="shared" si="2"/>
        <v>2075</v>
      </c>
      <c r="I26" s="15">
        <f t="shared" si="2"/>
        <v>0</v>
      </c>
      <c r="J26" s="15">
        <f t="shared" si="2"/>
        <v>2200</v>
      </c>
      <c r="K26" s="15">
        <f t="shared" si="2"/>
        <v>1875</v>
      </c>
      <c r="L26" s="15">
        <f t="shared" si="2"/>
        <v>6500</v>
      </c>
      <c r="M26" s="15">
        <f t="shared" si="2"/>
        <v>2575</v>
      </c>
      <c r="N26" s="15">
        <f t="shared" si="2"/>
        <v>2500</v>
      </c>
      <c r="O26" s="15">
        <f t="shared" si="2"/>
        <v>0</v>
      </c>
      <c r="P26" s="15">
        <f t="shared" si="2"/>
        <v>5000</v>
      </c>
      <c r="Q26" s="15">
        <f t="shared" si="2"/>
        <v>2200</v>
      </c>
      <c r="R26" s="15">
        <f t="shared" si="2"/>
        <v>5000</v>
      </c>
      <c r="S26" s="15">
        <f t="shared" si="2"/>
        <v>50</v>
      </c>
      <c r="T26" s="15">
        <f t="shared" si="2"/>
        <v>1500</v>
      </c>
      <c r="U26" s="15">
        <f t="shared" si="2"/>
        <v>0</v>
      </c>
      <c r="V26" s="15">
        <f t="shared" si="2"/>
        <v>0</v>
      </c>
      <c r="W26" s="15">
        <f t="shared" si="2"/>
        <v>0</v>
      </c>
      <c r="X26" s="15">
        <f t="shared" si="2"/>
        <v>0</v>
      </c>
      <c r="Y26" s="15">
        <f t="shared" si="2"/>
        <v>0</v>
      </c>
      <c r="Z26" s="15">
        <f t="shared" si="2"/>
        <v>0</v>
      </c>
      <c r="AA26" s="15">
        <f t="shared" si="2"/>
        <v>0</v>
      </c>
      <c r="AB26" s="15">
        <f t="shared" si="2"/>
        <v>0</v>
      </c>
      <c r="AC26" s="15">
        <f t="shared" si="2"/>
        <v>0</v>
      </c>
      <c r="AD26" s="15">
        <f t="shared" si="2"/>
        <v>0</v>
      </c>
      <c r="AE26" s="15">
        <f t="shared" si="2"/>
        <v>0</v>
      </c>
      <c r="AF26" s="15">
        <f t="shared" si="2"/>
        <v>0</v>
      </c>
      <c r="AG26" s="15">
        <f t="shared" si="2"/>
        <v>0</v>
      </c>
      <c r="AH26" s="15">
        <f t="shared" si="2"/>
        <v>0</v>
      </c>
      <c r="AI26" s="15">
        <f t="shared" si="2"/>
        <v>0</v>
      </c>
      <c r="AJ26" s="15">
        <f t="shared" si="2"/>
        <v>0</v>
      </c>
      <c r="AK26" s="15">
        <f t="shared" si="2"/>
        <v>0</v>
      </c>
      <c r="AL26" s="15">
        <f t="shared" si="2"/>
        <v>0</v>
      </c>
      <c r="AM26" s="15">
        <f t="shared" si="2"/>
        <v>0</v>
      </c>
      <c r="AN26" s="15">
        <f t="shared" si="2"/>
        <v>0</v>
      </c>
      <c r="AO26" s="15">
        <f t="shared" si="2"/>
        <v>0</v>
      </c>
      <c r="AP26" s="224">
        <f t="shared" si="2"/>
        <v>25650</v>
      </c>
    </row>
    <row r="27" spans="1:42" ht="15.75">
      <c r="A27" s="21"/>
      <c r="B27" s="21"/>
      <c r="C27" s="21"/>
      <c r="D27" s="54"/>
      <c r="E27" s="54"/>
      <c r="F27" s="54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</row>
    <row r="28" spans="1:42" ht="15.75">
      <c r="A28" s="51"/>
      <c r="B28" s="51" t="s">
        <v>8</v>
      </c>
      <c r="C28" s="51" t="s">
        <v>67</v>
      </c>
      <c r="D28" s="51" t="s">
        <v>68</v>
      </c>
      <c r="E28" s="199"/>
      <c r="F28" s="199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</row>
    <row r="29" spans="1:42">
      <c r="A29" s="18">
        <v>1</v>
      </c>
      <c r="B29" s="157" t="s">
        <v>32</v>
      </c>
      <c r="C29" s="18">
        <f>SUM(AP3)</f>
        <v>1425</v>
      </c>
      <c r="D29" s="50">
        <v>1000</v>
      </c>
      <c r="E29" s="128"/>
      <c r="F29" s="12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</row>
    <row r="30" spans="1:42">
      <c r="A30" s="18">
        <v>2</v>
      </c>
      <c r="B30" s="157" t="s">
        <v>26</v>
      </c>
      <c r="C30" s="170">
        <f>SUM(AP4)</f>
        <v>7325</v>
      </c>
      <c r="D30" s="50">
        <v>1000</v>
      </c>
      <c r="E30" s="128"/>
      <c r="F30" s="128"/>
      <c r="G30" s="68"/>
      <c r="H30" s="68"/>
      <c r="I30" s="68"/>
      <c r="J30" s="68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</row>
    <row r="31" spans="1:42">
      <c r="A31" s="18">
        <v>3</v>
      </c>
      <c r="B31" s="18" t="s">
        <v>27</v>
      </c>
      <c r="C31" s="170">
        <f>SUM(AP5)</f>
        <v>1925</v>
      </c>
      <c r="D31" s="50">
        <v>1000</v>
      </c>
      <c r="E31" s="128"/>
      <c r="F31" s="128"/>
      <c r="G31" s="68"/>
      <c r="H31" s="68"/>
      <c r="I31" s="68"/>
      <c r="J31" s="68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</row>
    <row r="32" spans="1:42">
      <c r="A32" s="18">
        <v>4</v>
      </c>
      <c r="B32" s="157" t="s">
        <v>28</v>
      </c>
      <c r="C32" s="170">
        <f t="shared" ref="C32:C49" si="3">SUM(AP6)</f>
        <v>0</v>
      </c>
      <c r="D32" s="50">
        <v>1500</v>
      </c>
      <c r="E32" s="128"/>
      <c r="F32" s="128"/>
      <c r="G32" s="68"/>
      <c r="H32" s="68"/>
      <c r="I32" s="68"/>
      <c r="J32" s="68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</row>
    <row r="33" spans="1:41">
      <c r="A33" s="18">
        <v>5</v>
      </c>
      <c r="B33" s="18" t="s">
        <v>216</v>
      </c>
      <c r="C33" s="170">
        <f t="shared" si="3"/>
        <v>325</v>
      </c>
      <c r="D33" s="203">
        <v>500</v>
      </c>
      <c r="E33" s="128"/>
      <c r="F33" s="128"/>
      <c r="G33" s="68"/>
      <c r="H33" s="68"/>
      <c r="I33" s="68"/>
      <c r="J33" s="68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</row>
    <row r="34" spans="1:41">
      <c r="A34" s="18">
        <v>6</v>
      </c>
      <c r="B34" s="18" t="s">
        <v>30</v>
      </c>
      <c r="C34" s="170">
        <f t="shared" si="3"/>
        <v>1900</v>
      </c>
      <c r="D34" s="203">
        <v>500</v>
      </c>
      <c r="E34" s="128"/>
      <c r="F34" s="128"/>
      <c r="G34" s="68"/>
      <c r="H34" s="68"/>
      <c r="I34" s="68"/>
      <c r="J34" s="68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</row>
    <row r="35" spans="1:41">
      <c r="A35" s="18">
        <v>7</v>
      </c>
      <c r="B35" s="18" t="s">
        <v>166</v>
      </c>
      <c r="C35" s="170">
        <f t="shared" si="3"/>
        <v>1075</v>
      </c>
      <c r="D35" s="203">
        <v>500</v>
      </c>
      <c r="E35" s="128"/>
      <c r="F35" s="128"/>
      <c r="G35" s="68"/>
      <c r="H35" s="68"/>
      <c r="I35" s="68"/>
      <c r="J35" s="68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</row>
    <row r="36" spans="1:41">
      <c r="A36" s="18">
        <v>8</v>
      </c>
      <c r="B36" s="157" t="s">
        <v>31</v>
      </c>
      <c r="C36" s="170">
        <f t="shared" si="3"/>
        <v>825</v>
      </c>
      <c r="D36" s="203">
        <v>200</v>
      </c>
      <c r="E36" s="128"/>
      <c r="F36" s="128"/>
      <c r="G36" s="68"/>
      <c r="H36" s="68"/>
      <c r="I36" s="68"/>
      <c r="J36" s="68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</row>
    <row r="37" spans="1:41">
      <c r="A37" s="18">
        <v>9</v>
      </c>
      <c r="B37" s="157" t="s">
        <v>33</v>
      </c>
      <c r="C37" s="170">
        <f t="shared" si="3"/>
        <v>75</v>
      </c>
      <c r="D37" s="203">
        <v>500</v>
      </c>
      <c r="E37" s="128"/>
      <c r="F37" s="12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</row>
    <row r="38" spans="1:41">
      <c r="A38" s="18">
        <v>10</v>
      </c>
      <c r="B38" s="157" t="s">
        <v>34</v>
      </c>
      <c r="C38" s="170">
        <f t="shared" si="3"/>
        <v>1800</v>
      </c>
      <c r="D38" s="203">
        <v>1000</v>
      </c>
      <c r="E38" s="128"/>
      <c r="F38" s="12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</row>
    <row r="39" spans="1:41">
      <c r="A39" s="18">
        <v>11</v>
      </c>
      <c r="B39" s="18" t="s">
        <v>74</v>
      </c>
      <c r="C39" s="170">
        <f t="shared" si="3"/>
        <v>450</v>
      </c>
      <c r="D39" s="203">
        <v>1000</v>
      </c>
      <c r="E39" s="128"/>
      <c r="F39" s="12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</row>
    <row r="40" spans="1:41">
      <c r="A40" s="18">
        <v>12</v>
      </c>
      <c r="B40" s="18" t="s">
        <v>35</v>
      </c>
      <c r="C40" s="170">
        <f t="shared" si="3"/>
        <v>2750</v>
      </c>
      <c r="D40" s="203">
        <v>1000</v>
      </c>
      <c r="E40" s="128"/>
      <c r="F40" s="12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</row>
    <row r="41" spans="1:41">
      <c r="A41" s="18">
        <v>13</v>
      </c>
      <c r="B41" s="18" t="s">
        <v>36</v>
      </c>
      <c r="C41" s="170">
        <f t="shared" si="3"/>
        <v>0</v>
      </c>
      <c r="D41" s="203">
        <v>100</v>
      </c>
      <c r="E41" s="128"/>
      <c r="F41" s="128"/>
    </row>
    <row r="42" spans="1:41">
      <c r="A42" s="18">
        <v>14</v>
      </c>
      <c r="B42" s="18" t="s">
        <v>52</v>
      </c>
      <c r="C42" s="170">
        <f t="shared" si="3"/>
        <v>0</v>
      </c>
      <c r="D42" s="203">
        <v>100</v>
      </c>
      <c r="E42" s="128"/>
      <c r="F42" s="128"/>
    </row>
    <row r="43" spans="1:41">
      <c r="A43" s="18">
        <v>15</v>
      </c>
      <c r="B43" s="18" t="s">
        <v>184</v>
      </c>
      <c r="C43" s="170">
        <f t="shared" si="3"/>
        <v>0</v>
      </c>
      <c r="D43" s="50">
        <v>0</v>
      </c>
      <c r="E43" s="128"/>
      <c r="F43" s="128"/>
    </row>
    <row r="44" spans="1:41">
      <c r="A44" s="18">
        <v>16</v>
      </c>
      <c r="B44" s="119" t="s">
        <v>158</v>
      </c>
      <c r="C44" s="170">
        <f t="shared" si="3"/>
        <v>0</v>
      </c>
      <c r="D44" s="50">
        <v>0</v>
      </c>
    </row>
    <row r="45" spans="1:41">
      <c r="A45" s="18">
        <v>17</v>
      </c>
      <c r="B45" s="119" t="s">
        <v>199</v>
      </c>
      <c r="C45" s="170">
        <f t="shared" si="3"/>
        <v>2725</v>
      </c>
      <c r="D45" s="50">
        <v>1000</v>
      </c>
    </row>
    <row r="46" spans="1:41">
      <c r="A46" s="18">
        <v>18</v>
      </c>
      <c r="B46" s="18" t="s">
        <v>179</v>
      </c>
      <c r="C46" s="170">
        <f t="shared" si="3"/>
        <v>450</v>
      </c>
    </row>
    <row r="47" spans="1:41">
      <c r="A47" s="18">
        <v>19</v>
      </c>
      <c r="B47" s="66" t="s">
        <v>206</v>
      </c>
      <c r="C47" s="170">
        <f t="shared" si="3"/>
        <v>800</v>
      </c>
    </row>
    <row r="48" spans="1:41">
      <c r="A48" s="18">
        <v>20</v>
      </c>
      <c r="B48" s="66" t="s">
        <v>207</v>
      </c>
      <c r="C48" s="170">
        <f t="shared" si="3"/>
        <v>0</v>
      </c>
    </row>
    <row r="49" spans="1:3">
      <c r="A49" s="170">
        <v>21</v>
      </c>
      <c r="B49" s="66" t="s">
        <v>214</v>
      </c>
      <c r="C49" s="170">
        <f t="shared" si="3"/>
        <v>175</v>
      </c>
    </row>
    <row r="50" spans="1:3">
      <c r="A50" s="170">
        <v>22</v>
      </c>
      <c r="B50" s="66" t="s">
        <v>215</v>
      </c>
      <c r="C50" s="170">
        <f>SUM(AP24)</f>
        <v>1625</v>
      </c>
    </row>
    <row r="51" spans="1:3">
      <c r="A51" s="170">
        <v>23</v>
      </c>
      <c r="B51" s="66" t="s">
        <v>267</v>
      </c>
      <c r="C51" s="170">
        <v>1500</v>
      </c>
    </row>
  </sheetData>
  <mergeCells count="3">
    <mergeCell ref="A26:C26"/>
    <mergeCell ref="A1:B1"/>
    <mergeCell ref="C1:AP1"/>
  </mergeCells>
  <conditionalFormatting sqref="C10:C11 C1:C7 C14:C16">
    <cfRule type="expression" priority="6">
      <formula>C28&lt;B28</formula>
    </cfRule>
  </conditionalFormatting>
  <conditionalFormatting sqref="C12:C13 C8:C9">
    <cfRule type="expression" priority="8">
      <formula>C36&lt;B36</formula>
    </cfRule>
  </conditionalFormatting>
  <conditionalFormatting sqref="C51:C1048563">
    <cfRule type="expression" priority="5">
      <formula>C68&lt;B68</formula>
    </cfRule>
  </conditionalFormatting>
  <conditionalFormatting sqref="C28:C50">
    <cfRule type="expression" priority="7">
      <formula>C44&lt;B44</formula>
    </cfRule>
  </conditionalFormatting>
  <conditionalFormatting sqref="C29:C50">
    <cfRule type="expression" dxfId="1" priority="4">
      <formula>$D29&gt;$C29</formula>
    </cfRule>
  </conditionalFormatting>
  <conditionalFormatting sqref="C20:C23">
    <cfRule type="expression" priority="9">
      <formula>C45&lt;B45</formula>
    </cfRule>
  </conditionalFormatting>
  <conditionalFormatting sqref="C27">
    <cfRule type="expression" priority="10">
      <formula>#REF!&lt;#REF!</formula>
    </cfRule>
  </conditionalFormatting>
  <conditionalFormatting sqref="C1048564:C1048567">
    <cfRule type="expression" priority="13">
      <formula>C1&lt;B1</formula>
    </cfRule>
  </conditionalFormatting>
  <conditionalFormatting sqref="C17">
    <cfRule type="expression" priority="14">
      <formula>#REF!&lt;#REF!</formula>
    </cfRule>
  </conditionalFormatting>
  <conditionalFormatting sqref="C26">
    <cfRule type="expression" priority="15">
      <formula>#REF!&lt;#REF!</formula>
    </cfRule>
  </conditionalFormatting>
  <conditionalFormatting sqref="C1048569:C1048576">
    <cfRule type="expression" priority="16">
      <formula>C1&lt;B1</formula>
    </cfRule>
  </conditionalFormatting>
  <conditionalFormatting sqref="C18:C19">
    <cfRule type="expression" priority="17">
      <formula>C44&lt;B44</formula>
    </cfRule>
  </conditionalFormatting>
  <conditionalFormatting sqref="C1048568">
    <cfRule type="expression" priority="18">
      <formula>C1&lt;B1</formula>
    </cfRule>
  </conditionalFormatting>
  <conditionalFormatting sqref="C24">
    <cfRule type="expression" priority="3">
      <formula>C49&lt;B49</formula>
    </cfRule>
  </conditionalFormatting>
  <conditionalFormatting sqref="C25">
    <cfRule type="expression" priority="1">
      <formula>C50&lt;B50</formula>
    </cfRule>
  </conditionalFormatting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4"/>
  <sheetViews>
    <sheetView zoomScaleNormal="100" workbookViewId="0">
      <pane xSplit="5" ySplit="2" topLeftCell="I3" activePane="bottomRight" state="frozen"/>
      <selection pane="topRight" activeCell="F1" sqref="F1"/>
      <selection pane="bottomLeft" activeCell="A3" sqref="A3"/>
      <selection pane="bottomRight" activeCell="O6" sqref="O6"/>
    </sheetView>
  </sheetViews>
  <sheetFormatPr defaultColWidth="9" defaultRowHeight="15"/>
  <cols>
    <col min="1" max="1" width="9" style="188"/>
    <col min="2" max="2" width="26.28515625" style="188" bestFit="1" customWidth="1"/>
    <col min="3" max="6" width="15" style="188" customWidth="1"/>
    <col min="7" max="10" width="10.42578125" style="188" customWidth="1"/>
    <col min="11" max="11" width="10.42578125" style="188" bestFit="1" customWidth="1"/>
    <col min="12" max="12" width="10.42578125" style="188" customWidth="1"/>
    <col min="13" max="20" width="10.42578125" style="188" bestFit="1" customWidth="1"/>
    <col min="21" max="37" width="10.42578125" style="188" hidden="1" customWidth="1"/>
    <col min="38" max="38" width="9" style="193"/>
    <col min="39" max="16384" width="9" style="190"/>
  </cols>
  <sheetData>
    <row r="1" spans="1:39" ht="30.75">
      <c r="A1" s="243" t="s">
        <v>7</v>
      </c>
      <c r="B1" s="243"/>
      <c r="C1" s="243"/>
      <c r="D1" s="243"/>
      <c r="E1" s="243"/>
      <c r="F1" s="213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210"/>
    </row>
    <row r="2" spans="1:39" s="191" customFormat="1" ht="32.25" customHeight="1">
      <c r="A2" s="5" t="s">
        <v>57</v>
      </c>
      <c r="B2" s="5" t="s">
        <v>56</v>
      </c>
      <c r="C2" s="5" t="s">
        <v>103</v>
      </c>
      <c r="D2" s="5" t="s">
        <v>54</v>
      </c>
      <c r="E2" s="192" t="s">
        <v>255</v>
      </c>
      <c r="F2" s="192" t="s">
        <v>257</v>
      </c>
      <c r="G2" s="169">
        <v>46174</v>
      </c>
      <c r="H2" s="169">
        <v>46175</v>
      </c>
      <c r="I2" s="169">
        <v>46176</v>
      </c>
      <c r="J2" s="169">
        <v>46177</v>
      </c>
      <c r="K2" s="169">
        <v>46178</v>
      </c>
      <c r="L2" s="192" t="s">
        <v>268</v>
      </c>
      <c r="M2" s="169">
        <v>46179</v>
      </c>
      <c r="N2" s="169">
        <v>46180</v>
      </c>
      <c r="O2" s="169">
        <v>46181</v>
      </c>
      <c r="P2" s="169">
        <v>46182</v>
      </c>
      <c r="Q2" s="169">
        <v>46183</v>
      </c>
      <c r="R2" s="169">
        <v>46184</v>
      </c>
      <c r="S2" s="169">
        <v>46185</v>
      </c>
      <c r="T2" s="169">
        <v>46186</v>
      </c>
      <c r="U2" s="169">
        <v>46187</v>
      </c>
      <c r="V2" s="169">
        <v>46188</v>
      </c>
      <c r="W2" s="169">
        <v>46189</v>
      </c>
      <c r="X2" s="169">
        <v>46190</v>
      </c>
      <c r="Y2" s="169">
        <v>46191</v>
      </c>
      <c r="Z2" s="169">
        <v>46192</v>
      </c>
      <c r="AA2" s="169">
        <v>46193</v>
      </c>
      <c r="AB2" s="169">
        <v>46194</v>
      </c>
      <c r="AC2" s="169">
        <v>46195</v>
      </c>
      <c r="AD2" s="169">
        <v>46196</v>
      </c>
      <c r="AE2" s="169">
        <v>46197</v>
      </c>
      <c r="AF2" s="169">
        <v>46198</v>
      </c>
      <c r="AG2" s="169">
        <v>46199</v>
      </c>
      <c r="AH2" s="169">
        <v>46200</v>
      </c>
      <c r="AI2" s="169">
        <v>46201</v>
      </c>
      <c r="AJ2" s="169">
        <v>46202</v>
      </c>
      <c r="AK2" s="169">
        <v>46203</v>
      </c>
      <c r="AL2" s="211" t="s">
        <v>5</v>
      </c>
    </row>
    <row r="3" spans="1:39">
      <c r="A3" s="170">
        <v>1</v>
      </c>
      <c r="B3" s="170" t="s">
        <v>84</v>
      </c>
      <c r="C3" s="170" t="s">
        <v>95</v>
      </c>
      <c r="D3" s="170" t="s">
        <v>1</v>
      </c>
      <c r="E3" s="195">
        <v>0</v>
      </c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223">
        <f>E3+F3-G3-H3-I3-J3-K3+L3-M3-N3-O3-P3-Q3-R3-S3-T3-U3-V3-W3-X3-Y3-Z3-AA3-AB3-AC3-AD3-AE3-AF3-AG3-AH3-AI3-AJ3-AK3</f>
        <v>0</v>
      </c>
      <c r="AM3" s="197"/>
    </row>
    <row r="4" spans="1:39" s="197" customFormat="1">
      <c r="A4" s="66">
        <v>2</v>
      </c>
      <c r="B4" s="66" t="s">
        <v>97</v>
      </c>
      <c r="C4" s="66" t="s">
        <v>96</v>
      </c>
      <c r="D4" s="66" t="s">
        <v>1</v>
      </c>
      <c r="E4" s="195">
        <v>150</v>
      </c>
      <c r="F4" s="66"/>
      <c r="G4" s="66"/>
      <c r="H4" s="66"/>
      <c r="I4" s="66"/>
      <c r="J4" s="66"/>
      <c r="K4" s="66">
        <v>25</v>
      </c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223">
        <f t="shared" ref="AL4:AL30" si="0">E4+F4-G4-H4-I4-J4-K4+L4-M4-N4-O4-P4-Q4-R4-S4-T4-U4-V4-W4-X4-Y4-Z4-AA4-AB4-AC4-AD4-AE4-AF4-AG4-AH4-AI4-AJ4-AK4</f>
        <v>125</v>
      </c>
    </row>
    <row r="5" spans="1:39">
      <c r="A5" s="170">
        <v>3</v>
      </c>
      <c r="B5" s="66" t="s">
        <v>85</v>
      </c>
      <c r="C5" s="170" t="s">
        <v>98</v>
      </c>
      <c r="D5" s="170" t="s">
        <v>1</v>
      </c>
      <c r="E5" s="195">
        <v>50</v>
      </c>
      <c r="F5" s="66"/>
      <c r="G5" s="66">
        <v>25</v>
      </c>
      <c r="H5" s="66"/>
      <c r="I5" s="66">
        <v>25</v>
      </c>
      <c r="J5" s="66"/>
      <c r="K5" s="66"/>
      <c r="L5" s="50">
        <v>500</v>
      </c>
      <c r="M5" s="66">
        <v>25</v>
      </c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223">
        <f t="shared" si="0"/>
        <v>475</v>
      </c>
      <c r="AM5" s="197"/>
    </row>
    <row r="6" spans="1:39">
      <c r="A6" s="170">
        <v>4</v>
      </c>
      <c r="B6" s="66" t="s">
        <v>247</v>
      </c>
      <c r="C6" s="170" t="s">
        <v>95</v>
      </c>
      <c r="D6" s="170" t="s">
        <v>1</v>
      </c>
      <c r="E6" s="195">
        <v>125</v>
      </c>
      <c r="F6" s="50">
        <v>500</v>
      </c>
      <c r="G6" s="108"/>
      <c r="H6" s="108">
        <v>25</v>
      </c>
      <c r="I6" s="108">
        <v>25</v>
      </c>
      <c r="J6" s="108">
        <v>25</v>
      </c>
      <c r="K6" s="108">
        <v>25</v>
      </c>
      <c r="L6" s="108"/>
      <c r="M6" s="108"/>
      <c r="N6" s="108"/>
      <c r="O6" s="108">
        <v>25</v>
      </c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223">
        <f t="shared" si="0"/>
        <v>500</v>
      </c>
      <c r="AM6" s="197"/>
    </row>
    <row r="7" spans="1:39" s="197" customFormat="1">
      <c r="A7" s="66">
        <v>5</v>
      </c>
      <c r="B7" s="66" t="s">
        <v>86</v>
      </c>
      <c r="C7" s="66" t="s">
        <v>100</v>
      </c>
      <c r="D7" s="66" t="s">
        <v>1</v>
      </c>
      <c r="E7" s="195">
        <v>225</v>
      </c>
      <c r="F7" s="66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223">
        <f t="shared" si="0"/>
        <v>225</v>
      </c>
    </row>
    <row r="8" spans="1:39">
      <c r="A8" s="170">
        <v>6</v>
      </c>
      <c r="B8" s="66" t="s">
        <v>87</v>
      </c>
      <c r="C8" s="170" t="s">
        <v>101</v>
      </c>
      <c r="D8" s="170" t="s">
        <v>1</v>
      </c>
      <c r="E8" s="195">
        <v>75</v>
      </c>
      <c r="F8" s="66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223">
        <f t="shared" si="0"/>
        <v>75</v>
      </c>
      <c r="AM8" s="197"/>
    </row>
    <row r="9" spans="1:39">
      <c r="A9" s="170">
        <v>7</v>
      </c>
      <c r="B9" s="66" t="s">
        <v>88</v>
      </c>
      <c r="C9" s="170" t="s">
        <v>96</v>
      </c>
      <c r="D9" s="170" t="s">
        <v>1</v>
      </c>
      <c r="E9" s="195">
        <v>50</v>
      </c>
      <c r="F9" s="66"/>
      <c r="G9" s="108"/>
      <c r="H9" s="108"/>
      <c r="I9" s="108"/>
      <c r="J9" s="108">
        <v>25</v>
      </c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223">
        <f t="shared" si="0"/>
        <v>25</v>
      </c>
      <c r="AM9" s="197"/>
    </row>
    <row r="10" spans="1:39">
      <c r="A10" s="170">
        <v>8</v>
      </c>
      <c r="B10" s="66" t="s">
        <v>89</v>
      </c>
      <c r="C10" s="170" t="s">
        <v>96</v>
      </c>
      <c r="D10" s="170" t="s">
        <v>1</v>
      </c>
      <c r="E10" s="195">
        <v>125</v>
      </c>
      <c r="F10" s="66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223">
        <f t="shared" si="0"/>
        <v>125</v>
      </c>
      <c r="AM10" s="197"/>
    </row>
    <row r="11" spans="1:39">
      <c r="A11" s="170">
        <v>9</v>
      </c>
      <c r="B11" s="66" t="s">
        <v>104</v>
      </c>
      <c r="C11" s="170" t="s">
        <v>96</v>
      </c>
      <c r="D11" s="170" t="s">
        <v>1</v>
      </c>
      <c r="E11" s="195">
        <v>125</v>
      </c>
      <c r="F11" s="66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223">
        <f t="shared" si="0"/>
        <v>125</v>
      </c>
      <c r="AM11" s="197"/>
    </row>
    <row r="12" spans="1:39">
      <c r="A12" s="170">
        <v>10</v>
      </c>
      <c r="B12" s="66" t="s">
        <v>91</v>
      </c>
      <c r="C12" s="170" t="s">
        <v>96</v>
      </c>
      <c r="D12" s="170" t="s">
        <v>1</v>
      </c>
      <c r="E12" s="195">
        <v>100</v>
      </c>
      <c r="F12" s="66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223">
        <f t="shared" si="0"/>
        <v>100</v>
      </c>
      <c r="AM12" s="197"/>
    </row>
    <row r="13" spans="1:39">
      <c r="A13" s="170">
        <v>11</v>
      </c>
      <c r="B13" s="66" t="s">
        <v>92</v>
      </c>
      <c r="C13" s="170" t="s">
        <v>96</v>
      </c>
      <c r="D13" s="170" t="s">
        <v>1</v>
      </c>
      <c r="E13" s="195">
        <v>150</v>
      </c>
      <c r="F13" s="66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223">
        <f t="shared" si="0"/>
        <v>150</v>
      </c>
      <c r="AM13" s="197"/>
    </row>
    <row r="14" spans="1:39" s="197" customFormat="1">
      <c r="A14" s="66">
        <v>12</v>
      </c>
      <c r="B14" s="66" t="s">
        <v>93</v>
      </c>
      <c r="C14" s="66" t="s">
        <v>96</v>
      </c>
      <c r="D14" s="66" t="s">
        <v>1</v>
      </c>
      <c r="E14" s="195">
        <v>200</v>
      </c>
      <c r="F14" s="66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223">
        <f t="shared" si="0"/>
        <v>200</v>
      </c>
    </row>
    <row r="15" spans="1:39">
      <c r="A15" s="170">
        <v>13</v>
      </c>
      <c r="B15" s="66" t="s">
        <v>111</v>
      </c>
      <c r="C15" s="170" t="s">
        <v>102</v>
      </c>
      <c r="D15" s="170" t="s">
        <v>1</v>
      </c>
      <c r="E15" s="195">
        <v>25</v>
      </c>
      <c r="F15" s="66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223">
        <f t="shared" si="0"/>
        <v>25</v>
      </c>
      <c r="AM15" s="197"/>
    </row>
    <row r="16" spans="1:39">
      <c r="A16" s="170">
        <v>14</v>
      </c>
      <c r="B16" s="66" t="s">
        <v>135</v>
      </c>
      <c r="C16" s="170" t="s">
        <v>96</v>
      </c>
      <c r="D16" s="170" t="s">
        <v>1</v>
      </c>
      <c r="E16" s="195">
        <v>50</v>
      </c>
      <c r="F16" s="66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223">
        <f t="shared" si="0"/>
        <v>50</v>
      </c>
      <c r="AM16" s="197"/>
    </row>
    <row r="17" spans="1:39">
      <c r="A17" s="170">
        <v>15</v>
      </c>
      <c r="B17" s="66" t="s">
        <v>136</v>
      </c>
      <c r="C17" s="170" t="s">
        <v>96</v>
      </c>
      <c r="D17" s="170" t="s">
        <v>1</v>
      </c>
      <c r="E17" s="195">
        <v>75</v>
      </c>
      <c r="F17" s="66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223">
        <f t="shared" si="0"/>
        <v>75</v>
      </c>
      <c r="AM17" s="197"/>
    </row>
    <row r="18" spans="1:39">
      <c r="A18" s="170">
        <v>16</v>
      </c>
      <c r="B18" s="66">
        <v>1544</v>
      </c>
      <c r="C18" s="170" t="s">
        <v>96</v>
      </c>
      <c r="D18" s="170" t="s">
        <v>1</v>
      </c>
      <c r="E18" s="195">
        <v>75</v>
      </c>
      <c r="F18" s="66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223">
        <f t="shared" si="0"/>
        <v>75</v>
      </c>
      <c r="AM18" s="197"/>
    </row>
    <row r="19" spans="1:39">
      <c r="A19" s="170">
        <v>17</v>
      </c>
      <c r="B19" s="66">
        <v>1423</v>
      </c>
      <c r="C19" s="170" t="s">
        <v>96</v>
      </c>
      <c r="D19" s="170" t="s">
        <v>1</v>
      </c>
      <c r="E19" s="195">
        <v>25</v>
      </c>
      <c r="F19" s="66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223">
        <f t="shared" si="0"/>
        <v>25</v>
      </c>
      <c r="AM19" s="197"/>
    </row>
    <row r="20" spans="1:39">
      <c r="A20" s="170">
        <v>18</v>
      </c>
      <c r="B20" s="66" t="s">
        <v>146</v>
      </c>
      <c r="C20" s="170" t="s">
        <v>101</v>
      </c>
      <c r="D20" s="170" t="s">
        <v>1</v>
      </c>
      <c r="E20" s="195">
        <v>0</v>
      </c>
      <c r="F20" s="66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223">
        <f t="shared" si="0"/>
        <v>0</v>
      </c>
      <c r="AM20" s="197"/>
    </row>
    <row r="21" spans="1:39">
      <c r="A21" s="170">
        <v>19</v>
      </c>
      <c r="B21" s="66" t="s">
        <v>147</v>
      </c>
      <c r="C21" s="170" t="s">
        <v>156</v>
      </c>
      <c r="D21" s="170" t="s">
        <v>1</v>
      </c>
      <c r="E21" s="195">
        <v>0</v>
      </c>
      <c r="F21" s="66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223">
        <f t="shared" si="0"/>
        <v>0</v>
      </c>
      <c r="AM21" s="197"/>
    </row>
    <row r="22" spans="1:39">
      <c r="A22" s="170">
        <v>20</v>
      </c>
      <c r="B22" s="66" t="s">
        <v>171</v>
      </c>
      <c r="C22" s="170" t="s">
        <v>96</v>
      </c>
      <c r="D22" s="170" t="s">
        <v>1</v>
      </c>
      <c r="E22" s="195">
        <v>250</v>
      </c>
      <c r="F22" s="66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223">
        <f t="shared" si="0"/>
        <v>250</v>
      </c>
      <c r="AM22" s="197"/>
    </row>
    <row r="23" spans="1:39">
      <c r="A23" s="170">
        <v>21</v>
      </c>
      <c r="B23" s="170" t="s">
        <v>160</v>
      </c>
      <c r="C23" s="170" t="s">
        <v>98</v>
      </c>
      <c r="D23" s="170" t="s">
        <v>1</v>
      </c>
      <c r="E23" s="195">
        <v>50</v>
      </c>
      <c r="F23" s="66"/>
      <c r="G23" s="108"/>
      <c r="H23" s="108"/>
      <c r="I23" s="108">
        <v>25</v>
      </c>
      <c r="J23" s="108"/>
      <c r="K23" s="108"/>
      <c r="L23" s="108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223">
        <f t="shared" si="0"/>
        <v>25</v>
      </c>
      <c r="AM23" s="197"/>
    </row>
    <row r="24" spans="1:39">
      <c r="A24" s="170">
        <v>22</v>
      </c>
      <c r="B24" s="170">
        <v>7300</v>
      </c>
      <c r="C24" s="170" t="s">
        <v>96</v>
      </c>
      <c r="D24" s="170" t="s">
        <v>1</v>
      </c>
      <c r="E24" s="195">
        <v>75</v>
      </c>
      <c r="F24" s="66"/>
      <c r="G24" s="108"/>
      <c r="H24" s="108"/>
      <c r="I24" s="108"/>
      <c r="J24" s="108"/>
      <c r="K24" s="108"/>
      <c r="L24" s="108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223">
        <f t="shared" si="0"/>
        <v>75</v>
      </c>
      <c r="AM24" s="197"/>
    </row>
    <row r="25" spans="1:39">
      <c r="A25" s="170">
        <v>23</v>
      </c>
      <c r="B25" s="170">
        <v>8801</v>
      </c>
      <c r="C25" s="170" t="s">
        <v>96</v>
      </c>
      <c r="D25" s="170" t="s">
        <v>1</v>
      </c>
      <c r="E25" s="195">
        <v>25</v>
      </c>
      <c r="F25" s="66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223">
        <f t="shared" si="0"/>
        <v>25</v>
      </c>
      <c r="AM25" s="197"/>
    </row>
    <row r="26" spans="1:39">
      <c r="A26" s="170">
        <v>24</v>
      </c>
      <c r="B26" s="170" t="s">
        <v>217</v>
      </c>
      <c r="C26" s="170" t="s">
        <v>218</v>
      </c>
      <c r="D26" s="170" t="s">
        <v>1</v>
      </c>
      <c r="E26" s="195">
        <v>100</v>
      </c>
      <c r="F26" s="66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223">
        <f t="shared" si="0"/>
        <v>100</v>
      </c>
    </row>
    <row r="27" spans="1:39">
      <c r="A27" s="170">
        <v>25</v>
      </c>
      <c r="B27" s="170" t="s">
        <v>248</v>
      </c>
      <c r="C27" s="170" t="s">
        <v>252</v>
      </c>
      <c r="D27" s="170" t="s">
        <v>1</v>
      </c>
      <c r="E27" s="195">
        <v>49.5</v>
      </c>
      <c r="F27" s="66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223">
        <f t="shared" si="0"/>
        <v>49.5</v>
      </c>
    </row>
    <row r="28" spans="1:39">
      <c r="A28" s="170">
        <v>26</v>
      </c>
      <c r="B28" s="170" t="s">
        <v>249</v>
      </c>
      <c r="C28" s="170" t="s">
        <v>252</v>
      </c>
      <c r="D28" s="170" t="s">
        <v>1</v>
      </c>
      <c r="E28" s="195">
        <v>43.5</v>
      </c>
      <c r="F28" s="66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223">
        <f t="shared" si="0"/>
        <v>43.5</v>
      </c>
    </row>
    <row r="29" spans="1:39">
      <c r="A29" s="170">
        <v>27</v>
      </c>
      <c r="B29" s="170" t="s">
        <v>250</v>
      </c>
      <c r="C29" s="170" t="s">
        <v>252</v>
      </c>
      <c r="D29" s="170" t="s">
        <v>1</v>
      </c>
      <c r="E29" s="195">
        <v>53</v>
      </c>
      <c r="F29" s="66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223">
        <f t="shared" si="0"/>
        <v>53</v>
      </c>
    </row>
    <row r="30" spans="1:39">
      <c r="A30" s="170">
        <v>28</v>
      </c>
      <c r="B30" s="170" t="s">
        <v>251</v>
      </c>
      <c r="C30" s="170" t="s">
        <v>252</v>
      </c>
      <c r="D30" s="170" t="s">
        <v>1</v>
      </c>
      <c r="E30" s="195">
        <v>50</v>
      </c>
      <c r="F30" s="66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223">
        <f t="shared" si="0"/>
        <v>50</v>
      </c>
    </row>
    <row r="31" spans="1:39">
      <c r="AL31" s="197"/>
    </row>
    <row r="32" spans="1:39" ht="30">
      <c r="A32" s="5" t="s">
        <v>57</v>
      </c>
      <c r="B32" s="5" t="s">
        <v>56</v>
      </c>
      <c r="C32" s="5" t="s">
        <v>69</v>
      </c>
      <c r="D32" s="5" t="s">
        <v>68</v>
      </c>
      <c r="E32" s="200"/>
      <c r="F32" s="200"/>
      <c r="AL32" s="197"/>
    </row>
    <row r="33" spans="1:38">
      <c r="A33" s="170">
        <v>1</v>
      </c>
      <c r="B33" s="170" t="s">
        <v>84</v>
      </c>
      <c r="C33" s="170">
        <f t="shared" ref="C33:C54" si="1">AL3</f>
        <v>0</v>
      </c>
      <c r="D33" s="50">
        <v>200</v>
      </c>
      <c r="E33" s="128"/>
      <c r="F33" s="128"/>
      <c r="AL33" s="197"/>
    </row>
    <row r="34" spans="1:38">
      <c r="A34" s="170">
        <v>2</v>
      </c>
      <c r="B34" s="170" t="s">
        <v>97</v>
      </c>
      <c r="C34" s="170">
        <f t="shared" si="1"/>
        <v>125</v>
      </c>
      <c r="D34" s="50">
        <v>100</v>
      </c>
      <c r="E34" s="128"/>
      <c r="F34" s="128"/>
      <c r="AL34" s="197"/>
    </row>
    <row r="35" spans="1:38">
      <c r="A35" s="170">
        <v>3</v>
      </c>
      <c r="B35" s="170" t="s">
        <v>85</v>
      </c>
      <c r="C35" s="170">
        <f t="shared" si="1"/>
        <v>475</v>
      </c>
      <c r="D35" s="50">
        <v>200</v>
      </c>
      <c r="E35" s="128"/>
      <c r="F35" s="128"/>
      <c r="AL35" s="197"/>
    </row>
    <row r="36" spans="1:38">
      <c r="A36" s="170">
        <v>4</v>
      </c>
      <c r="B36" s="170" t="s">
        <v>247</v>
      </c>
      <c r="C36" s="170">
        <f t="shared" si="1"/>
        <v>500</v>
      </c>
      <c r="D36" s="50">
        <v>200</v>
      </c>
      <c r="E36" s="128"/>
      <c r="F36" s="128"/>
      <c r="AL36" s="197"/>
    </row>
    <row r="37" spans="1:38">
      <c r="A37" s="170">
        <v>5</v>
      </c>
      <c r="B37" s="170" t="s">
        <v>86</v>
      </c>
      <c r="C37" s="170">
        <f t="shared" si="1"/>
        <v>225</v>
      </c>
      <c r="D37" s="50">
        <v>100</v>
      </c>
      <c r="E37" s="128"/>
      <c r="F37" s="128"/>
      <c r="AL37" s="197"/>
    </row>
    <row r="38" spans="1:38">
      <c r="A38" s="170">
        <v>6</v>
      </c>
      <c r="B38" s="170" t="s">
        <v>87</v>
      </c>
      <c r="C38" s="170">
        <f t="shared" si="1"/>
        <v>75</v>
      </c>
      <c r="D38" s="50">
        <v>25</v>
      </c>
      <c r="E38" s="128"/>
      <c r="F38" s="128"/>
      <c r="AL38" s="197"/>
    </row>
    <row r="39" spans="1:38" s="188" customFormat="1">
      <c r="A39" s="170">
        <v>7</v>
      </c>
      <c r="B39" s="170" t="s">
        <v>88</v>
      </c>
      <c r="C39" s="170">
        <f t="shared" si="1"/>
        <v>25</v>
      </c>
      <c r="D39" s="50">
        <v>200</v>
      </c>
      <c r="E39" s="128"/>
      <c r="F39" s="128"/>
      <c r="AL39" s="197"/>
    </row>
    <row r="40" spans="1:38" s="188" customFormat="1">
      <c r="A40" s="170">
        <v>8</v>
      </c>
      <c r="B40" s="170" t="s">
        <v>89</v>
      </c>
      <c r="C40" s="170">
        <f t="shared" si="1"/>
        <v>125</v>
      </c>
      <c r="D40" s="50">
        <v>200</v>
      </c>
      <c r="E40" s="128"/>
      <c r="F40" s="128"/>
      <c r="AL40" s="197"/>
    </row>
    <row r="41" spans="1:38" s="188" customFormat="1">
      <c r="A41" s="170">
        <v>9</v>
      </c>
      <c r="B41" s="170" t="s">
        <v>104</v>
      </c>
      <c r="C41" s="170">
        <f t="shared" si="1"/>
        <v>125</v>
      </c>
      <c r="D41" s="50">
        <v>100</v>
      </c>
      <c r="E41" s="128"/>
      <c r="F41" s="128"/>
      <c r="AL41" s="197"/>
    </row>
    <row r="42" spans="1:38" s="188" customFormat="1">
      <c r="A42" s="170">
        <v>10</v>
      </c>
      <c r="B42" s="170" t="s">
        <v>91</v>
      </c>
      <c r="C42" s="170">
        <f t="shared" si="1"/>
        <v>100</v>
      </c>
      <c r="D42" s="50">
        <v>0</v>
      </c>
      <c r="E42" s="128"/>
      <c r="F42" s="128"/>
      <c r="AL42" s="197"/>
    </row>
    <row r="43" spans="1:38" s="188" customFormat="1">
      <c r="A43" s="170">
        <v>11</v>
      </c>
      <c r="B43" s="170" t="s">
        <v>92</v>
      </c>
      <c r="C43" s="170">
        <f t="shared" si="1"/>
        <v>150</v>
      </c>
      <c r="D43" s="50">
        <v>100</v>
      </c>
      <c r="E43" s="128"/>
      <c r="F43" s="128"/>
      <c r="AL43" s="197"/>
    </row>
    <row r="44" spans="1:38" s="188" customFormat="1">
      <c r="A44" s="170">
        <v>12</v>
      </c>
      <c r="B44" s="170" t="s">
        <v>93</v>
      </c>
      <c r="C44" s="170">
        <f t="shared" si="1"/>
        <v>200</v>
      </c>
      <c r="D44" s="50">
        <v>100</v>
      </c>
      <c r="E44" s="128"/>
      <c r="F44" s="128"/>
      <c r="AL44" s="197"/>
    </row>
    <row r="45" spans="1:38" s="188" customFormat="1">
      <c r="A45" s="170">
        <v>13</v>
      </c>
      <c r="B45" s="170" t="s">
        <v>111</v>
      </c>
      <c r="C45" s="170">
        <f t="shared" si="1"/>
        <v>25</v>
      </c>
      <c r="D45" s="50">
        <v>25</v>
      </c>
      <c r="E45" s="128"/>
      <c r="F45" s="128"/>
      <c r="AL45" s="197"/>
    </row>
    <row r="46" spans="1:38" s="188" customFormat="1">
      <c r="A46" s="170">
        <v>14</v>
      </c>
      <c r="B46" s="170" t="s">
        <v>135</v>
      </c>
      <c r="C46" s="170">
        <f t="shared" si="1"/>
        <v>50</v>
      </c>
      <c r="D46" s="50">
        <v>25</v>
      </c>
      <c r="E46" s="128"/>
      <c r="F46" s="128"/>
      <c r="AL46" s="197"/>
    </row>
    <row r="47" spans="1:38" s="188" customFormat="1">
      <c r="A47" s="170">
        <v>15</v>
      </c>
      <c r="B47" s="170" t="s">
        <v>136</v>
      </c>
      <c r="C47" s="170">
        <f t="shared" si="1"/>
        <v>75</v>
      </c>
      <c r="D47" s="50">
        <v>75</v>
      </c>
      <c r="E47" s="128"/>
      <c r="F47" s="128"/>
      <c r="AL47" s="197"/>
    </row>
    <row r="48" spans="1:38" s="188" customFormat="1">
      <c r="A48" s="170">
        <v>16</v>
      </c>
      <c r="B48" s="170">
        <v>1544</v>
      </c>
      <c r="C48" s="170">
        <f t="shared" si="1"/>
        <v>75</v>
      </c>
      <c r="AL48" s="197"/>
    </row>
    <row r="49" spans="1:38" s="188" customFormat="1">
      <c r="A49" s="170">
        <v>17</v>
      </c>
      <c r="B49" s="170">
        <v>1423</v>
      </c>
      <c r="C49" s="170">
        <f t="shared" si="1"/>
        <v>25</v>
      </c>
      <c r="AL49" s="197"/>
    </row>
    <row r="50" spans="1:38" s="188" customFormat="1">
      <c r="A50" s="170">
        <v>18</v>
      </c>
      <c r="B50" s="170" t="s">
        <v>146</v>
      </c>
      <c r="C50" s="170">
        <f t="shared" si="1"/>
        <v>0</v>
      </c>
      <c r="AL50" s="197"/>
    </row>
    <row r="51" spans="1:38" s="188" customFormat="1">
      <c r="A51" s="170">
        <v>19</v>
      </c>
      <c r="B51" s="170" t="s">
        <v>147</v>
      </c>
      <c r="C51" s="170">
        <f t="shared" si="1"/>
        <v>0</v>
      </c>
      <c r="AL51" s="197"/>
    </row>
    <row r="52" spans="1:38" s="188" customFormat="1">
      <c r="A52" s="63">
        <v>20</v>
      </c>
      <c r="B52" s="63" t="s">
        <v>171</v>
      </c>
      <c r="C52" s="170">
        <f t="shared" si="1"/>
        <v>250</v>
      </c>
      <c r="AL52" s="197"/>
    </row>
    <row r="53" spans="1:38" s="188" customFormat="1">
      <c r="A53" s="170">
        <v>21</v>
      </c>
      <c r="B53" s="170" t="s">
        <v>160</v>
      </c>
      <c r="C53" s="170">
        <f t="shared" si="1"/>
        <v>25</v>
      </c>
      <c r="AL53" s="197"/>
    </row>
    <row r="54" spans="1:38" s="188" customFormat="1">
      <c r="A54" s="170">
        <v>22</v>
      </c>
      <c r="B54" s="170" t="s">
        <v>205</v>
      </c>
      <c r="C54" s="170">
        <f t="shared" si="1"/>
        <v>75</v>
      </c>
      <c r="AL54" s="197"/>
    </row>
    <row r="55" spans="1:38" s="188" customFormat="1">
      <c r="A55" s="170">
        <v>23</v>
      </c>
      <c r="B55" s="170">
        <v>8801</v>
      </c>
      <c r="C55" s="170">
        <f>AL25</f>
        <v>25</v>
      </c>
      <c r="AL55" s="197"/>
    </row>
    <row r="56" spans="1:38">
      <c r="A56" s="170">
        <v>24</v>
      </c>
      <c r="B56" s="170" t="s">
        <v>217</v>
      </c>
      <c r="C56" s="170">
        <f>AL26</f>
        <v>100</v>
      </c>
      <c r="AL56" s="197"/>
    </row>
    <row r="57" spans="1:38">
      <c r="A57" s="170">
        <v>25</v>
      </c>
      <c r="B57" s="170" t="s">
        <v>248</v>
      </c>
      <c r="C57" s="170">
        <f t="shared" ref="C57:C60" si="2">AL27</f>
        <v>49.5</v>
      </c>
      <c r="AL57" s="197"/>
    </row>
    <row r="58" spans="1:38">
      <c r="A58" s="170">
        <v>26</v>
      </c>
      <c r="B58" s="170" t="s">
        <v>249</v>
      </c>
      <c r="C58" s="170">
        <f t="shared" si="2"/>
        <v>43.5</v>
      </c>
      <c r="AL58" s="197"/>
    </row>
    <row r="59" spans="1:38">
      <c r="A59" s="170">
        <v>27</v>
      </c>
      <c r="B59" s="170" t="s">
        <v>250</v>
      </c>
      <c r="C59" s="170">
        <f t="shared" si="2"/>
        <v>53</v>
      </c>
      <c r="AL59" s="197"/>
    </row>
    <row r="60" spans="1:38">
      <c r="A60" s="170">
        <v>28</v>
      </c>
      <c r="B60" s="170" t="s">
        <v>251</v>
      </c>
      <c r="C60" s="170">
        <f t="shared" si="2"/>
        <v>50</v>
      </c>
      <c r="AL60" s="197"/>
    </row>
    <row r="61" spans="1:38">
      <c r="AL61" s="197"/>
    </row>
    <row r="62" spans="1:38">
      <c r="AL62" s="197"/>
    </row>
    <row r="63" spans="1:38">
      <c r="AL63" s="197"/>
    </row>
    <row r="64" spans="1:38">
      <c r="AL64" s="197"/>
    </row>
    <row r="65" spans="38:38">
      <c r="AL65" s="197"/>
    </row>
    <row r="66" spans="38:38">
      <c r="AL66" s="197"/>
    </row>
    <row r="67" spans="38:38">
      <c r="AL67" s="197"/>
    </row>
    <row r="68" spans="38:38">
      <c r="AL68" s="197"/>
    </row>
    <row r="69" spans="38:38">
      <c r="AL69" s="197"/>
    </row>
    <row r="70" spans="38:38">
      <c r="AL70" s="197"/>
    </row>
    <row r="71" spans="38:38">
      <c r="AL71" s="197"/>
    </row>
    <row r="72" spans="38:38">
      <c r="AL72" s="197"/>
    </row>
    <row r="73" spans="38:38">
      <c r="AL73" s="197"/>
    </row>
    <row r="74" spans="38:38">
      <c r="AL74" s="197"/>
    </row>
  </sheetData>
  <mergeCells count="1">
    <mergeCell ref="A1:E1"/>
  </mergeCells>
  <conditionalFormatting sqref="C33:C55">
    <cfRule type="expression" dxfId="0" priority="1">
      <formula>$D33&gt;$C33</formula>
    </cfRule>
  </conditionalFormatting>
  <pageMargins left="0.70866141732283472" right="0.70866141732283472" top="0.74803149606299213" bottom="0.74803149606299213" header="0.31496062992125984" footer="0.31496062992125984"/>
  <pageSetup scale="14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5"/>
  <sheetViews>
    <sheetView topLeftCell="A3" workbookViewId="0">
      <pane xSplit="4" topLeftCell="P1" activePane="topRight" state="frozen"/>
      <selection pane="topRight" activeCell="Y8" sqref="Y8"/>
    </sheetView>
  </sheetViews>
  <sheetFormatPr defaultRowHeight="15"/>
  <cols>
    <col min="1" max="1" width="9.85546875" bestFit="1" customWidth="1"/>
    <col min="2" max="2" width="34.28515625" style="176" bestFit="1" customWidth="1"/>
    <col min="3" max="3" width="12.5703125" bestFit="1" customWidth="1"/>
    <col min="4" max="4" width="10.7109375" style="166" bestFit="1" customWidth="1"/>
    <col min="5" max="5" width="11.140625" style="166" customWidth="1"/>
    <col min="6" max="6" width="10.42578125" style="167" bestFit="1" customWidth="1"/>
    <col min="7" max="7" width="10.42578125" style="167" customWidth="1"/>
    <col min="8" max="8" width="10.42578125" style="167" bestFit="1" customWidth="1"/>
    <col min="9" max="9" width="10.42578125" style="167" customWidth="1"/>
    <col min="10" max="10" width="10.42578125" style="167" bestFit="1" customWidth="1"/>
    <col min="11" max="11" width="10.42578125" style="167" customWidth="1"/>
    <col min="12" max="12" width="10.42578125" style="167" bestFit="1" customWidth="1"/>
    <col min="13" max="13" width="10.42578125" style="167" customWidth="1"/>
    <col min="14" max="14" width="10.42578125" style="167" bestFit="1" customWidth="1"/>
    <col min="15" max="15" width="10.42578125" style="167" customWidth="1"/>
    <col min="16" max="16" width="10.42578125" style="167" bestFit="1" customWidth="1"/>
    <col min="17" max="17" width="10.42578125" bestFit="1" customWidth="1"/>
    <col min="18" max="18" width="10.42578125" style="167" customWidth="1"/>
    <col min="19" max="19" width="10.42578125" style="167" bestFit="1" customWidth="1"/>
    <col min="20" max="20" width="10.42578125" style="167" customWidth="1"/>
    <col min="21" max="21" width="10.42578125" style="263" bestFit="1" customWidth="1"/>
    <col min="22" max="25" width="10.42578125" bestFit="1" customWidth="1"/>
    <col min="26" max="31" width="10.42578125" hidden="1" customWidth="1"/>
    <col min="32" max="36" width="10.42578125" style="167" hidden="1" customWidth="1"/>
    <col min="37" max="37" width="10.42578125" hidden="1" customWidth="1"/>
    <col min="38" max="41" width="10.42578125" style="167" hidden="1" customWidth="1"/>
    <col min="42" max="42" width="10.42578125" hidden="1" customWidth="1"/>
  </cols>
  <sheetData>
    <row r="1" spans="1:43" s="180" customFormat="1" ht="33" customHeight="1">
      <c r="A1" s="181" t="s">
        <v>230</v>
      </c>
      <c r="B1" s="182"/>
      <c r="C1" s="182"/>
      <c r="D1" s="183"/>
      <c r="E1" s="183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182"/>
      <c r="R1" s="208"/>
      <c r="S1" s="208"/>
      <c r="T1" s="208"/>
      <c r="U1" s="208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208"/>
      <c r="AG1" s="208"/>
      <c r="AH1" s="208"/>
      <c r="AI1" s="208"/>
      <c r="AJ1" s="208"/>
      <c r="AK1" s="182"/>
      <c r="AL1" s="208"/>
      <c r="AM1" s="208"/>
      <c r="AN1" s="208"/>
      <c r="AO1" s="208"/>
      <c r="AP1" s="182"/>
      <c r="AQ1" s="182"/>
    </row>
    <row r="2" spans="1:43" ht="35.25" customHeight="1">
      <c r="A2" s="206" t="s">
        <v>211</v>
      </c>
      <c r="B2" s="207" t="s">
        <v>212</v>
      </c>
      <c r="C2" s="206" t="s">
        <v>67</v>
      </c>
      <c r="D2" s="172" t="s">
        <v>254</v>
      </c>
      <c r="E2" s="172" t="s">
        <v>257</v>
      </c>
      <c r="F2" s="169">
        <v>46174</v>
      </c>
      <c r="G2" s="172" t="s">
        <v>260</v>
      </c>
      <c r="H2" s="169">
        <v>46175</v>
      </c>
      <c r="I2" s="172" t="s">
        <v>261</v>
      </c>
      <c r="J2" s="169">
        <v>46176</v>
      </c>
      <c r="K2" s="172" t="s">
        <v>264</v>
      </c>
      <c r="L2" s="169">
        <v>46177</v>
      </c>
      <c r="M2" s="172" t="s">
        <v>266</v>
      </c>
      <c r="N2" s="169">
        <v>46178</v>
      </c>
      <c r="O2" s="172" t="s">
        <v>268</v>
      </c>
      <c r="P2" s="169">
        <v>46179</v>
      </c>
      <c r="Q2" s="169">
        <v>46180</v>
      </c>
      <c r="R2" s="172" t="s">
        <v>273</v>
      </c>
      <c r="S2" s="169">
        <v>46181</v>
      </c>
      <c r="T2" s="172" t="s">
        <v>282</v>
      </c>
      <c r="U2" s="169">
        <v>46182</v>
      </c>
      <c r="V2" s="169">
        <v>46183</v>
      </c>
      <c r="W2" s="169">
        <v>46184</v>
      </c>
      <c r="X2" s="169">
        <v>46185</v>
      </c>
      <c r="Y2" s="169">
        <v>46186</v>
      </c>
      <c r="Z2" s="169">
        <v>46187</v>
      </c>
      <c r="AA2" s="169">
        <v>46188</v>
      </c>
      <c r="AB2" s="169">
        <v>46189</v>
      </c>
      <c r="AC2" s="169">
        <v>46190</v>
      </c>
      <c r="AD2" s="169">
        <v>46191</v>
      </c>
      <c r="AE2" s="169">
        <v>46192</v>
      </c>
      <c r="AF2" s="169">
        <v>46193</v>
      </c>
      <c r="AG2" s="169">
        <v>46194</v>
      </c>
      <c r="AH2" s="169">
        <v>46195</v>
      </c>
      <c r="AI2" s="169">
        <v>46196</v>
      </c>
      <c r="AJ2" s="169">
        <v>46197</v>
      </c>
      <c r="AK2" s="169">
        <v>46198</v>
      </c>
      <c r="AL2" s="169">
        <v>46199</v>
      </c>
      <c r="AM2" s="169">
        <v>46200</v>
      </c>
      <c r="AN2" s="169">
        <v>46201</v>
      </c>
      <c r="AO2" s="169">
        <v>46202</v>
      </c>
      <c r="AP2" s="169">
        <v>46203</v>
      </c>
      <c r="AQ2" s="179" t="s">
        <v>5</v>
      </c>
    </row>
    <row r="3" spans="1:43">
      <c r="A3" s="170">
        <v>1</v>
      </c>
      <c r="B3" s="177" t="s">
        <v>208</v>
      </c>
      <c r="C3" s="209">
        <f>SUM(AQ3)</f>
        <v>375</v>
      </c>
      <c r="D3" s="204">
        <v>250</v>
      </c>
      <c r="E3" s="214"/>
      <c r="F3" s="168">
        <v>125</v>
      </c>
      <c r="G3" s="216">
        <v>150</v>
      </c>
      <c r="H3" s="168">
        <v>50</v>
      </c>
      <c r="I3" s="168"/>
      <c r="J3" s="168">
        <v>100</v>
      </c>
      <c r="K3" s="216">
        <v>125</v>
      </c>
      <c r="L3" s="168"/>
      <c r="M3" s="168"/>
      <c r="N3" s="168"/>
      <c r="O3" s="216">
        <v>75</v>
      </c>
      <c r="P3" s="168"/>
      <c r="Q3" s="171"/>
      <c r="R3" s="168"/>
      <c r="S3" s="168"/>
      <c r="T3" s="216">
        <v>50</v>
      </c>
      <c r="U3" s="10"/>
      <c r="V3" s="171"/>
      <c r="W3" s="171"/>
      <c r="X3" s="171"/>
      <c r="Y3" s="171"/>
      <c r="Z3" s="171"/>
      <c r="AA3" s="171"/>
      <c r="AB3" s="171"/>
      <c r="AC3" s="171"/>
      <c r="AD3" s="171"/>
      <c r="AE3" s="107"/>
      <c r="AF3" s="106"/>
      <c r="AG3" s="106"/>
      <c r="AH3" s="106"/>
      <c r="AI3" s="106"/>
      <c r="AJ3" s="106"/>
      <c r="AK3" s="171"/>
      <c r="AL3" s="168"/>
      <c r="AM3" s="168"/>
      <c r="AN3" s="168"/>
      <c r="AO3" s="168"/>
      <c r="AP3" s="171"/>
      <c r="AQ3" s="205">
        <f>D3+E3-F3+G3-H3+I3-J3+K3-L3+M3-N3+O3-P3-Q3+R3-S3+T3-U3-V3-W3-X3-Y3-Z3-AA3-AB3-AC3-AD3-AE3+AF3-AG3-AH3-AI3-AJ3-AK3-AL3-AM3-AN3-AO3-AP3</f>
        <v>375</v>
      </c>
    </row>
    <row r="4" spans="1:43">
      <c r="A4" s="170">
        <v>2</v>
      </c>
      <c r="B4" s="177" t="s">
        <v>209</v>
      </c>
      <c r="C4" s="209">
        <f t="shared" ref="C4:C24" si="0">SUM(AQ4)</f>
        <v>600</v>
      </c>
      <c r="D4" s="204">
        <v>350</v>
      </c>
      <c r="E4" s="214"/>
      <c r="F4" s="168"/>
      <c r="G4" s="168"/>
      <c r="H4" s="168"/>
      <c r="I4" s="168"/>
      <c r="J4" s="168">
        <v>75</v>
      </c>
      <c r="K4" s="216">
        <v>75</v>
      </c>
      <c r="L4" s="168">
        <v>25</v>
      </c>
      <c r="M4" s="216">
        <v>250</v>
      </c>
      <c r="N4" s="168"/>
      <c r="O4" s="216">
        <v>100</v>
      </c>
      <c r="P4" s="168">
        <v>150</v>
      </c>
      <c r="Q4" s="171"/>
      <c r="R4" s="216">
        <v>75</v>
      </c>
      <c r="S4" s="168">
        <v>25</v>
      </c>
      <c r="T4" s="216">
        <v>25</v>
      </c>
      <c r="U4" s="10"/>
      <c r="V4" s="171"/>
      <c r="W4" s="171"/>
      <c r="X4" s="171"/>
      <c r="Y4" s="171"/>
      <c r="Z4" s="171"/>
      <c r="AA4" s="171"/>
      <c r="AB4" s="171"/>
      <c r="AC4" s="171"/>
      <c r="AD4" s="171"/>
      <c r="AE4" s="107"/>
      <c r="AF4" s="106"/>
      <c r="AG4" s="106"/>
      <c r="AH4" s="106"/>
      <c r="AI4" s="106"/>
      <c r="AJ4" s="106"/>
      <c r="AK4" s="171"/>
      <c r="AL4" s="168"/>
      <c r="AM4" s="168"/>
      <c r="AN4" s="168"/>
      <c r="AO4" s="168"/>
      <c r="AP4" s="171"/>
      <c r="AQ4" s="205">
        <f t="shared" ref="AQ4:AQ24" si="1">D4+E4-F4+G4-H4+I4-J4+K4-L4+M4-N4+O4-P4-Q4+R4-S4+T4-U4-V4-W4-X4-Y4-Z4-AA4-AB4-AC4-AD4-AE4+AF4-AG4-AH4-AI4-AJ4-AK4-AL4-AM4-AN4-AO4-AP4</f>
        <v>600</v>
      </c>
    </row>
    <row r="5" spans="1:43">
      <c r="A5" s="170">
        <v>3</v>
      </c>
      <c r="B5" s="177" t="s">
        <v>241</v>
      </c>
      <c r="C5" s="209">
        <f t="shared" si="0"/>
        <v>350</v>
      </c>
      <c r="D5" s="204">
        <v>350</v>
      </c>
      <c r="E5" s="214"/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71"/>
      <c r="R5" s="168"/>
      <c r="S5" s="168"/>
      <c r="T5" s="168"/>
      <c r="U5" s="10"/>
      <c r="V5" s="171"/>
      <c r="W5" s="171"/>
      <c r="X5" s="171"/>
      <c r="Y5" s="171"/>
      <c r="Z5" s="171"/>
      <c r="AA5" s="171"/>
      <c r="AB5" s="171"/>
      <c r="AC5" s="171"/>
      <c r="AD5" s="171"/>
      <c r="AE5" s="107"/>
      <c r="AF5" s="106"/>
      <c r="AG5" s="106"/>
      <c r="AH5" s="106"/>
      <c r="AI5" s="106"/>
      <c r="AJ5" s="106"/>
      <c r="AK5" s="171"/>
      <c r="AL5" s="168"/>
      <c r="AM5" s="168"/>
      <c r="AN5" s="168"/>
      <c r="AO5" s="168"/>
      <c r="AP5" s="171"/>
      <c r="AQ5" s="205">
        <f t="shared" si="1"/>
        <v>350</v>
      </c>
    </row>
    <row r="6" spans="1:43">
      <c r="A6" s="170">
        <v>4</v>
      </c>
      <c r="B6" s="177" t="s">
        <v>231</v>
      </c>
      <c r="C6" s="209">
        <f t="shared" si="0"/>
        <v>225</v>
      </c>
      <c r="D6" s="204">
        <v>100</v>
      </c>
      <c r="E6" s="214"/>
      <c r="F6" s="168"/>
      <c r="G6" s="168"/>
      <c r="H6" s="168"/>
      <c r="I6" s="168"/>
      <c r="J6" s="168"/>
      <c r="K6" s="168"/>
      <c r="L6" s="168"/>
      <c r="M6" s="216">
        <v>75</v>
      </c>
      <c r="N6" s="168"/>
      <c r="O6" s="168">
        <v>75</v>
      </c>
      <c r="P6" s="168">
        <v>25</v>
      </c>
      <c r="Q6" s="171"/>
      <c r="R6" s="168"/>
      <c r="S6" s="168"/>
      <c r="T6" s="168"/>
      <c r="U6" s="10"/>
      <c r="V6" s="171"/>
      <c r="W6" s="171"/>
      <c r="X6" s="171"/>
      <c r="Y6" s="171"/>
      <c r="Z6" s="171"/>
      <c r="AA6" s="171"/>
      <c r="AB6" s="171"/>
      <c r="AC6" s="171"/>
      <c r="AD6" s="171"/>
      <c r="AE6" s="107"/>
      <c r="AF6" s="106"/>
      <c r="AG6" s="106"/>
      <c r="AH6" s="106"/>
      <c r="AI6" s="106"/>
      <c r="AJ6" s="106"/>
      <c r="AK6" s="171"/>
      <c r="AL6" s="168"/>
      <c r="AM6" s="168"/>
      <c r="AN6" s="168"/>
      <c r="AO6" s="168"/>
      <c r="AP6" s="171"/>
      <c r="AQ6" s="205">
        <f t="shared" si="1"/>
        <v>225</v>
      </c>
    </row>
    <row r="7" spans="1:43">
      <c r="A7" s="170">
        <v>5</v>
      </c>
      <c r="B7" s="177" t="s">
        <v>232</v>
      </c>
      <c r="C7" s="209">
        <f t="shared" si="0"/>
        <v>0</v>
      </c>
      <c r="D7" s="204">
        <v>0</v>
      </c>
      <c r="E7" s="214"/>
      <c r="F7" s="168"/>
      <c r="G7" s="168"/>
      <c r="H7" s="168"/>
      <c r="I7" s="168"/>
      <c r="J7" s="168"/>
      <c r="K7" s="168"/>
      <c r="L7" s="168"/>
      <c r="M7" s="168"/>
      <c r="N7" s="168"/>
      <c r="O7" s="168"/>
      <c r="P7" s="168"/>
      <c r="Q7" s="171"/>
      <c r="R7" s="168"/>
      <c r="S7" s="168"/>
      <c r="T7" s="168"/>
      <c r="U7" s="10"/>
      <c r="V7" s="171"/>
      <c r="W7" s="171"/>
      <c r="X7" s="171"/>
      <c r="Y7" s="171"/>
      <c r="Z7" s="171"/>
      <c r="AA7" s="171"/>
      <c r="AB7" s="171"/>
      <c r="AC7" s="171"/>
      <c r="AD7" s="171"/>
      <c r="AE7" s="107"/>
      <c r="AF7" s="106"/>
      <c r="AG7" s="106"/>
      <c r="AH7" s="106"/>
      <c r="AI7" s="106"/>
      <c r="AJ7" s="106"/>
      <c r="AK7" s="171"/>
      <c r="AL7" s="168"/>
      <c r="AM7" s="168"/>
      <c r="AN7" s="168"/>
      <c r="AO7" s="168"/>
      <c r="AP7" s="171"/>
      <c r="AQ7" s="205">
        <f t="shared" si="1"/>
        <v>0</v>
      </c>
    </row>
    <row r="8" spans="1:43">
      <c r="A8" s="170">
        <v>6</v>
      </c>
      <c r="B8" s="177" t="s">
        <v>233</v>
      </c>
      <c r="C8" s="209">
        <f t="shared" si="0"/>
        <v>50</v>
      </c>
      <c r="D8" s="204">
        <v>0</v>
      </c>
      <c r="E8" s="214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71"/>
      <c r="R8" s="216">
        <v>75</v>
      </c>
      <c r="S8" s="168">
        <v>25</v>
      </c>
      <c r="T8" s="168"/>
      <c r="U8" s="10"/>
      <c r="V8" s="171"/>
      <c r="W8" s="171"/>
      <c r="X8" s="171"/>
      <c r="Y8" s="171"/>
      <c r="Z8" s="171"/>
      <c r="AA8" s="171"/>
      <c r="AB8" s="171"/>
      <c r="AC8" s="171"/>
      <c r="AD8" s="171"/>
      <c r="AE8" s="107"/>
      <c r="AF8" s="106"/>
      <c r="AG8" s="106"/>
      <c r="AH8" s="106"/>
      <c r="AI8" s="106"/>
      <c r="AJ8" s="106"/>
      <c r="AK8" s="171"/>
      <c r="AL8" s="168"/>
      <c r="AM8" s="168"/>
      <c r="AN8" s="168"/>
      <c r="AO8" s="168"/>
      <c r="AP8" s="171"/>
      <c r="AQ8" s="205">
        <f t="shared" si="1"/>
        <v>50</v>
      </c>
    </row>
    <row r="9" spans="1:43">
      <c r="A9" s="170">
        <v>7</v>
      </c>
      <c r="B9" s="177" t="s">
        <v>224</v>
      </c>
      <c r="C9" s="209">
        <f t="shared" si="0"/>
        <v>0</v>
      </c>
      <c r="D9" s="204">
        <v>0</v>
      </c>
      <c r="E9" s="214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71"/>
      <c r="R9" s="168"/>
      <c r="S9" s="168"/>
      <c r="T9" s="168"/>
      <c r="U9" s="10"/>
      <c r="V9" s="171"/>
      <c r="W9" s="171"/>
      <c r="X9" s="171"/>
      <c r="Y9" s="171"/>
      <c r="Z9" s="171"/>
      <c r="AA9" s="171"/>
      <c r="AB9" s="171"/>
      <c r="AC9" s="171"/>
      <c r="AD9" s="171"/>
      <c r="AE9" s="107"/>
      <c r="AF9" s="106"/>
      <c r="AG9" s="106"/>
      <c r="AH9" s="106"/>
      <c r="AI9" s="106"/>
      <c r="AJ9" s="106"/>
      <c r="AK9" s="171"/>
      <c r="AL9" s="168"/>
      <c r="AM9" s="168"/>
      <c r="AN9" s="168"/>
      <c r="AO9" s="168"/>
      <c r="AP9" s="171"/>
      <c r="AQ9" s="205">
        <f t="shared" si="1"/>
        <v>0</v>
      </c>
    </row>
    <row r="10" spans="1:43">
      <c r="A10" s="170">
        <v>8</v>
      </c>
      <c r="B10" s="177" t="s">
        <v>225</v>
      </c>
      <c r="C10" s="209">
        <f t="shared" si="0"/>
        <v>100</v>
      </c>
      <c r="D10" s="204">
        <v>100</v>
      </c>
      <c r="E10" s="214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71"/>
      <c r="R10" s="168"/>
      <c r="S10" s="168"/>
      <c r="T10" s="168"/>
      <c r="U10" s="10"/>
      <c r="V10" s="171"/>
      <c r="W10" s="171"/>
      <c r="X10" s="171"/>
      <c r="Y10" s="171"/>
      <c r="Z10" s="171"/>
      <c r="AA10" s="171"/>
      <c r="AB10" s="171"/>
      <c r="AC10" s="171"/>
      <c r="AD10" s="171"/>
      <c r="AE10" s="107"/>
      <c r="AF10" s="106"/>
      <c r="AG10" s="106"/>
      <c r="AH10" s="106"/>
      <c r="AI10" s="106"/>
      <c r="AJ10" s="106"/>
      <c r="AK10" s="171"/>
      <c r="AL10" s="168"/>
      <c r="AM10" s="168"/>
      <c r="AN10" s="168"/>
      <c r="AO10" s="168"/>
      <c r="AP10" s="171"/>
      <c r="AQ10" s="205">
        <f t="shared" si="1"/>
        <v>100</v>
      </c>
    </row>
    <row r="11" spans="1:43">
      <c r="A11" s="170">
        <v>9</v>
      </c>
      <c r="B11" s="177" t="s">
        <v>226</v>
      </c>
      <c r="C11" s="209">
        <f t="shared" si="0"/>
        <v>175</v>
      </c>
      <c r="D11" s="204">
        <v>175</v>
      </c>
      <c r="E11" s="214"/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/>
      <c r="Q11" s="171"/>
      <c r="R11" s="168"/>
      <c r="S11" s="168"/>
      <c r="T11" s="168"/>
      <c r="U11" s="10"/>
      <c r="V11" s="171"/>
      <c r="W11" s="171"/>
      <c r="X11" s="171"/>
      <c r="Y11" s="171"/>
      <c r="Z11" s="171"/>
      <c r="AA11" s="171"/>
      <c r="AB11" s="171"/>
      <c r="AC11" s="171"/>
      <c r="AD11" s="171"/>
      <c r="AE11" s="107"/>
      <c r="AF11" s="106"/>
      <c r="AG11" s="106"/>
      <c r="AH11" s="106"/>
      <c r="AI11" s="106"/>
      <c r="AJ11" s="106"/>
      <c r="AK11" s="171"/>
      <c r="AL11" s="168"/>
      <c r="AM11" s="168"/>
      <c r="AN11" s="168"/>
      <c r="AO11" s="168"/>
      <c r="AP11" s="171"/>
      <c r="AQ11" s="205">
        <f t="shared" si="1"/>
        <v>175</v>
      </c>
    </row>
    <row r="12" spans="1:43">
      <c r="A12" s="170">
        <v>10</v>
      </c>
      <c r="B12" s="177" t="s">
        <v>238</v>
      </c>
      <c r="C12" s="209">
        <f t="shared" si="0"/>
        <v>225</v>
      </c>
      <c r="D12" s="204">
        <v>225</v>
      </c>
      <c r="E12" s="214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71"/>
      <c r="R12" s="168"/>
      <c r="S12" s="168"/>
      <c r="T12" s="168"/>
      <c r="U12" s="10"/>
      <c r="V12" s="171"/>
      <c r="W12" s="171"/>
      <c r="X12" s="171"/>
      <c r="Y12" s="171"/>
      <c r="Z12" s="171"/>
      <c r="AA12" s="171"/>
      <c r="AB12" s="171"/>
      <c r="AC12" s="171"/>
      <c r="AD12" s="171"/>
      <c r="AE12" s="107"/>
      <c r="AF12" s="106"/>
      <c r="AG12" s="106"/>
      <c r="AH12" s="106"/>
      <c r="AI12" s="106"/>
      <c r="AJ12" s="106"/>
      <c r="AK12" s="171"/>
      <c r="AL12" s="168"/>
      <c r="AM12" s="168"/>
      <c r="AN12" s="168"/>
      <c r="AO12" s="168"/>
      <c r="AP12" s="171"/>
      <c r="AQ12" s="205">
        <f t="shared" si="1"/>
        <v>225</v>
      </c>
    </row>
    <row r="13" spans="1:43">
      <c r="A13" s="170">
        <v>11</v>
      </c>
      <c r="B13" s="177" t="s">
        <v>228</v>
      </c>
      <c r="C13" s="209">
        <f t="shared" si="0"/>
        <v>950</v>
      </c>
      <c r="D13" s="204">
        <v>300</v>
      </c>
      <c r="E13" s="215">
        <v>250</v>
      </c>
      <c r="F13" s="168"/>
      <c r="G13" s="168"/>
      <c r="H13" s="168"/>
      <c r="I13" s="216">
        <v>600</v>
      </c>
      <c r="J13" s="168">
        <v>125</v>
      </c>
      <c r="K13" s="168"/>
      <c r="L13" s="168">
        <v>125</v>
      </c>
      <c r="M13" s="216">
        <v>175</v>
      </c>
      <c r="N13" s="168"/>
      <c r="O13" s="216">
        <v>100</v>
      </c>
      <c r="P13" s="168">
        <v>200</v>
      </c>
      <c r="Q13" s="171"/>
      <c r="R13" s="216">
        <v>100</v>
      </c>
      <c r="S13" s="168">
        <v>125</v>
      </c>
      <c r="T13" s="168"/>
      <c r="U13" s="10"/>
      <c r="V13" s="171"/>
      <c r="W13" s="171"/>
      <c r="X13" s="171"/>
      <c r="Y13" s="171"/>
      <c r="Z13" s="171"/>
      <c r="AA13" s="171"/>
      <c r="AB13" s="171"/>
      <c r="AC13" s="171"/>
      <c r="AD13" s="171"/>
      <c r="AE13" s="107"/>
      <c r="AF13" s="106"/>
      <c r="AG13" s="106"/>
      <c r="AH13" s="106"/>
      <c r="AI13" s="106"/>
      <c r="AJ13" s="106"/>
      <c r="AK13" s="171"/>
      <c r="AL13" s="168"/>
      <c r="AM13" s="168"/>
      <c r="AN13" s="168"/>
      <c r="AO13" s="168"/>
      <c r="AP13" s="171"/>
      <c r="AQ13" s="205">
        <f t="shared" si="1"/>
        <v>950</v>
      </c>
    </row>
    <row r="14" spans="1:43">
      <c r="A14" s="170">
        <v>12</v>
      </c>
      <c r="B14" s="177" t="s">
        <v>229</v>
      </c>
      <c r="C14" s="209">
        <f t="shared" si="0"/>
        <v>150</v>
      </c>
      <c r="D14" s="204">
        <v>150</v>
      </c>
      <c r="E14" s="214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71"/>
      <c r="R14" s="168"/>
      <c r="S14" s="168"/>
      <c r="T14" s="168"/>
      <c r="U14" s="10"/>
      <c r="V14" s="171"/>
      <c r="W14" s="171"/>
      <c r="X14" s="171"/>
      <c r="Y14" s="171"/>
      <c r="Z14" s="171"/>
      <c r="AA14" s="171"/>
      <c r="AB14" s="171"/>
      <c r="AC14" s="171"/>
      <c r="AD14" s="171"/>
      <c r="AE14" s="107"/>
      <c r="AF14" s="106"/>
      <c r="AG14" s="106"/>
      <c r="AH14" s="106"/>
      <c r="AI14" s="106"/>
      <c r="AJ14" s="106"/>
      <c r="AK14" s="171"/>
      <c r="AL14" s="168"/>
      <c r="AM14" s="168"/>
      <c r="AN14" s="168"/>
      <c r="AO14" s="168"/>
      <c r="AP14" s="171"/>
      <c r="AQ14" s="205">
        <f t="shared" si="1"/>
        <v>150</v>
      </c>
    </row>
    <row r="15" spans="1:43">
      <c r="A15" s="170">
        <v>13</v>
      </c>
      <c r="B15" s="177" t="s">
        <v>227</v>
      </c>
      <c r="C15" s="209">
        <f t="shared" si="0"/>
        <v>100</v>
      </c>
      <c r="D15" s="204">
        <v>100</v>
      </c>
      <c r="E15" s="214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71"/>
      <c r="R15" s="168"/>
      <c r="S15" s="168"/>
      <c r="T15" s="168"/>
      <c r="U15" s="10"/>
      <c r="V15" s="171"/>
      <c r="W15" s="171"/>
      <c r="X15" s="171"/>
      <c r="Y15" s="171"/>
      <c r="Z15" s="171"/>
      <c r="AA15" s="171"/>
      <c r="AB15" s="171"/>
      <c r="AC15" s="171"/>
      <c r="AD15" s="171"/>
      <c r="AE15" s="107"/>
      <c r="AF15" s="106"/>
      <c r="AG15" s="106"/>
      <c r="AH15" s="106"/>
      <c r="AI15" s="106"/>
      <c r="AJ15" s="106"/>
      <c r="AK15" s="171"/>
      <c r="AL15" s="168"/>
      <c r="AM15" s="168"/>
      <c r="AN15" s="168"/>
      <c r="AO15" s="168"/>
      <c r="AP15" s="171"/>
      <c r="AQ15" s="205">
        <f t="shared" si="1"/>
        <v>100</v>
      </c>
    </row>
    <row r="16" spans="1:43">
      <c r="A16" s="170">
        <v>14</v>
      </c>
      <c r="B16" s="177" t="s">
        <v>237</v>
      </c>
      <c r="C16" s="209">
        <f t="shared" si="0"/>
        <v>100</v>
      </c>
      <c r="D16" s="204">
        <v>0</v>
      </c>
      <c r="E16" s="214"/>
      <c r="F16" s="168"/>
      <c r="G16" s="168"/>
      <c r="H16" s="168"/>
      <c r="I16" s="216">
        <v>100</v>
      </c>
      <c r="J16" s="168"/>
      <c r="K16" s="168"/>
      <c r="L16" s="168"/>
      <c r="M16" s="168"/>
      <c r="N16" s="168"/>
      <c r="O16" s="168"/>
      <c r="P16" s="168"/>
      <c r="Q16" s="171"/>
      <c r="R16" s="168"/>
      <c r="S16" s="168"/>
      <c r="T16" s="168"/>
      <c r="U16" s="10"/>
      <c r="V16" s="171"/>
      <c r="W16" s="171"/>
      <c r="X16" s="171"/>
      <c r="Y16" s="171"/>
      <c r="Z16" s="171"/>
      <c r="AA16" s="171"/>
      <c r="AB16" s="171"/>
      <c r="AC16" s="171"/>
      <c r="AD16" s="171"/>
      <c r="AE16" s="107"/>
      <c r="AF16" s="106"/>
      <c r="AG16" s="106"/>
      <c r="AH16" s="106"/>
      <c r="AI16" s="106"/>
      <c r="AJ16" s="106"/>
      <c r="AK16" s="171"/>
      <c r="AL16" s="168"/>
      <c r="AM16" s="168"/>
      <c r="AN16" s="168"/>
      <c r="AO16" s="168"/>
      <c r="AP16" s="171"/>
      <c r="AQ16" s="205">
        <f t="shared" si="1"/>
        <v>100</v>
      </c>
    </row>
    <row r="17" spans="1:43">
      <c r="A17" s="170">
        <v>15</v>
      </c>
      <c r="B17" s="177" t="s">
        <v>236</v>
      </c>
      <c r="C17" s="209">
        <f t="shared" si="0"/>
        <v>25</v>
      </c>
      <c r="D17" s="204">
        <v>25</v>
      </c>
      <c r="E17" s="214"/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171"/>
      <c r="R17" s="168"/>
      <c r="S17" s="168"/>
      <c r="T17" s="168"/>
      <c r="U17" s="10"/>
      <c r="V17" s="171"/>
      <c r="W17" s="171"/>
      <c r="X17" s="171"/>
      <c r="Y17" s="171"/>
      <c r="Z17" s="171"/>
      <c r="AA17" s="171"/>
      <c r="AB17" s="171"/>
      <c r="AC17" s="171"/>
      <c r="AD17" s="171"/>
      <c r="AE17" s="107"/>
      <c r="AF17" s="106"/>
      <c r="AG17" s="106"/>
      <c r="AH17" s="106"/>
      <c r="AI17" s="106"/>
      <c r="AJ17" s="106"/>
      <c r="AK17" s="171"/>
      <c r="AL17" s="168"/>
      <c r="AM17" s="168"/>
      <c r="AN17" s="168"/>
      <c r="AO17" s="168"/>
      <c r="AP17" s="171"/>
      <c r="AQ17" s="205">
        <f t="shared" si="1"/>
        <v>25</v>
      </c>
    </row>
    <row r="18" spans="1:43">
      <c r="A18" s="170">
        <v>16</v>
      </c>
      <c r="B18" s="177" t="s">
        <v>27</v>
      </c>
      <c r="C18" s="209">
        <f t="shared" si="0"/>
        <v>75</v>
      </c>
      <c r="D18" s="204">
        <v>25</v>
      </c>
      <c r="E18" s="214"/>
      <c r="F18" s="168"/>
      <c r="G18" s="168"/>
      <c r="H18" s="168"/>
      <c r="I18" s="168"/>
      <c r="J18" s="168"/>
      <c r="K18" s="168"/>
      <c r="L18" s="168"/>
      <c r="M18" s="216">
        <v>25</v>
      </c>
      <c r="N18" s="168"/>
      <c r="O18" s="168"/>
      <c r="P18" s="168"/>
      <c r="Q18" s="171"/>
      <c r="R18" s="216">
        <v>25</v>
      </c>
      <c r="S18" s="168"/>
      <c r="T18" s="216">
        <v>25</v>
      </c>
      <c r="U18" s="10">
        <v>25</v>
      </c>
      <c r="V18" s="171"/>
      <c r="W18" s="171"/>
      <c r="X18" s="171"/>
      <c r="Y18" s="171"/>
      <c r="Z18" s="171"/>
      <c r="AA18" s="171"/>
      <c r="AB18" s="171"/>
      <c r="AC18" s="171"/>
      <c r="AD18" s="171"/>
      <c r="AE18" s="107"/>
      <c r="AF18" s="106"/>
      <c r="AG18" s="106"/>
      <c r="AH18" s="106"/>
      <c r="AI18" s="106"/>
      <c r="AJ18" s="106"/>
      <c r="AK18" s="171"/>
      <c r="AL18" s="168"/>
      <c r="AM18" s="168"/>
      <c r="AN18" s="168"/>
      <c r="AO18" s="168"/>
      <c r="AP18" s="171"/>
      <c r="AQ18" s="205">
        <f t="shared" si="1"/>
        <v>75</v>
      </c>
    </row>
    <row r="19" spans="1:43">
      <c r="A19" s="170">
        <v>17</v>
      </c>
      <c r="B19" s="177" t="s">
        <v>244</v>
      </c>
      <c r="C19" s="209">
        <f t="shared" si="0"/>
        <v>25</v>
      </c>
      <c r="D19" s="204">
        <v>25</v>
      </c>
      <c r="E19" s="214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71"/>
      <c r="R19" s="168"/>
      <c r="S19" s="168"/>
      <c r="T19" s="168"/>
      <c r="U19" s="10"/>
      <c r="V19" s="171"/>
      <c r="W19" s="171"/>
      <c r="X19" s="171"/>
      <c r="Y19" s="171"/>
      <c r="Z19" s="171"/>
      <c r="AA19" s="171"/>
      <c r="AB19" s="171"/>
      <c r="AC19" s="171"/>
      <c r="AD19" s="171"/>
      <c r="AE19" s="107"/>
      <c r="AF19" s="106"/>
      <c r="AG19" s="106"/>
      <c r="AH19" s="106"/>
      <c r="AI19" s="106"/>
      <c r="AJ19" s="106"/>
      <c r="AK19" s="171"/>
      <c r="AL19" s="168"/>
      <c r="AM19" s="168"/>
      <c r="AN19" s="168"/>
      <c r="AO19" s="168"/>
      <c r="AP19" s="171"/>
      <c r="AQ19" s="205">
        <f t="shared" si="1"/>
        <v>25</v>
      </c>
    </row>
    <row r="20" spans="1:43">
      <c r="A20" s="170">
        <v>18</v>
      </c>
      <c r="B20" s="177" t="s">
        <v>242</v>
      </c>
      <c r="C20" s="209">
        <f t="shared" si="0"/>
        <v>50</v>
      </c>
      <c r="D20" s="204">
        <v>25</v>
      </c>
      <c r="E20" s="214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71"/>
      <c r="R20" s="216">
        <v>25</v>
      </c>
      <c r="S20" s="168"/>
      <c r="T20" s="168"/>
      <c r="U20" s="10"/>
      <c r="V20" s="171"/>
      <c r="W20" s="171"/>
      <c r="X20" s="171"/>
      <c r="Y20" s="171"/>
      <c r="Z20" s="171"/>
      <c r="AA20" s="171"/>
      <c r="AB20" s="171"/>
      <c r="AC20" s="171"/>
      <c r="AD20" s="171"/>
      <c r="AE20" s="107"/>
      <c r="AF20" s="106"/>
      <c r="AG20" s="106"/>
      <c r="AH20" s="106"/>
      <c r="AI20" s="106"/>
      <c r="AJ20" s="106"/>
      <c r="AK20" s="171"/>
      <c r="AL20" s="168"/>
      <c r="AM20" s="168"/>
      <c r="AN20" s="168"/>
      <c r="AO20" s="168"/>
      <c r="AP20" s="171"/>
      <c r="AQ20" s="205">
        <f t="shared" si="1"/>
        <v>50</v>
      </c>
    </row>
    <row r="21" spans="1:43">
      <c r="A21" s="170">
        <v>19</v>
      </c>
      <c r="B21" s="177" t="s">
        <v>245</v>
      </c>
      <c r="C21" s="209">
        <f t="shared" si="0"/>
        <v>0</v>
      </c>
      <c r="D21" s="204">
        <v>0</v>
      </c>
      <c r="E21" s="214"/>
      <c r="F21" s="168"/>
      <c r="G21" s="168"/>
      <c r="H21" s="168"/>
      <c r="I21" s="216">
        <v>25</v>
      </c>
      <c r="J21" s="168">
        <v>25</v>
      </c>
      <c r="K21" s="168"/>
      <c r="L21" s="168"/>
      <c r="M21" s="168"/>
      <c r="N21" s="168"/>
      <c r="O21" s="168"/>
      <c r="P21" s="168"/>
      <c r="Q21" s="171"/>
      <c r="R21" s="168"/>
      <c r="S21" s="168"/>
      <c r="T21" s="168"/>
      <c r="U21" s="10"/>
      <c r="V21" s="171"/>
      <c r="W21" s="171"/>
      <c r="X21" s="171"/>
      <c r="Y21" s="171"/>
      <c r="Z21" s="171"/>
      <c r="AA21" s="171"/>
      <c r="AB21" s="171"/>
      <c r="AC21" s="171"/>
      <c r="AD21" s="171"/>
      <c r="AE21" s="107"/>
      <c r="AF21" s="106"/>
      <c r="AG21" s="106"/>
      <c r="AH21" s="106"/>
      <c r="AI21" s="106"/>
      <c r="AJ21" s="106"/>
      <c r="AK21" s="171"/>
      <c r="AL21" s="168"/>
      <c r="AM21" s="168"/>
      <c r="AN21" s="168"/>
      <c r="AO21" s="168"/>
      <c r="AP21" s="171"/>
      <c r="AQ21" s="205">
        <f t="shared" si="1"/>
        <v>0</v>
      </c>
    </row>
    <row r="22" spans="1:43">
      <c r="A22" s="170">
        <v>20</v>
      </c>
      <c r="B22" s="177" t="s">
        <v>234</v>
      </c>
      <c r="C22" s="209">
        <f t="shared" si="0"/>
        <v>250</v>
      </c>
      <c r="D22" s="204">
        <v>75</v>
      </c>
      <c r="E22" s="214"/>
      <c r="F22" s="168">
        <v>50</v>
      </c>
      <c r="G22" s="216">
        <v>50</v>
      </c>
      <c r="H22" s="168">
        <v>50</v>
      </c>
      <c r="I22" s="216">
        <v>150</v>
      </c>
      <c r="J22" s="168">
        <v>125</v>
      </c>
      <c r="K22" s="216">
        <v>50</v>
      </c>
      <c r="L22" s="168">
        <v>50</v>
      </c>
      <c r="M22" s="216">
        <v>75</v>
      </c>
      <c r="N22" s="168">
        <v>100</v>
      </c>
      <c r="O22" s="216">
        <v>50</v>
      </c>
      <c r="P22" s="168"/>
      <c r="Q22" s="171"/>
      <c r="R22" s="216">
        <v>100</v>
      </c>
      <c r="S22" s="168"/>
      <c r="T22" s="216">
        <v>75</v>
      </c>
      <c r="U22" s="10"/>
      <c r="V22" s="171"/>
      <c r="W22" s="171"/>
      <c r="X22" s="171"/>
      <c r="Y22" s="171"/>
      <c r="Z22" s="171"/>
      <c r="AA22" s="171"/>
      <c r="AB22" s="171"/>
      <c r="AC22" s="171"/>
      <c r="AD22" s="171"/>
      <c r="AE22" s="107"/>
      <c r="AF22" s="106"/>
      <c r="AG22" s="106"/>
      <c r="AH22" s="106"/>
      <c r="AI22" s="106"/>
      <c r="AJ22" s="106"/>
      <c r="AK22" s="171"/>
      <c r="AL22" s="168"/>
      <c r="AM22" s="168"/>
      <c r="AN22" s="168"/>
      <c r="AO22" s="168"/>
      <c r="AP22" s="171"/>
      <c r="AQ22" s="205">
        <f t="shared" si="1"/>
        <v>250</v>
      </c>
    </row>
    <row r="23" spans="1:43">
      <c r="A23" s="170">
        <v>21</v>
      </c>
      <c r="B23" s="177" t="s">
        <v>258</v>
      </c>
      <c r="C23" s="209">
        <f t="shared" si="0"/>
        <v>0</v>
      </c>
      <c r="D23" s="204">
        <v>0</v>
      </c>
      <c r="E23" s="215">
        <v>25</v>
      </c>
      <c r="F23" s="168">
        <v>25</v>
      </c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71"/>
      <c r="R23" s="168"/>
      <c r="S23" s="168"/>
      <c r="T23" s="168"/>
      <c r="U23" s="10"/>
      <c r="V23" s="171"/>
      <c r="W23" s="171"/>
      <c r="X23" s="171"/>
      <c r="Y23" s="171"/>
      <c r="Z23" s="171"/>
      <c r="AA23" s="171"/>
      <c r="AB23" s="171"/>
      <c r="AC23" s="171"/>
      <c r="AD23" s="171"/>
      <c r="AE23" s="107"/>
      <c r="AF23" s="106"/>
      <c r="AG23" s="106"/>
      <c r="AH23" s="106"/>
      <c r="AI23" s="106"/>
      <c r="AJ23" s="106"/>
      <c r="AK23" s="171"/>
      <c r="AL23" s="168"/>
      <c r="AM23" s="168"/>
      <c r="AN23" s="168"/>
      <c r="AO23" s="168"/>
      <c r="AP23" s="171"/>
      <c r="AQ23" s="205">
        <f t="shared" si="1"/>
        <v>0</v>
      </c>
    </row>
    <row r="24" spans="1:43">
      <c r="A24" s="170">
        <v>22</v>
      </c>
      <c r="B24" s="177" t="s">
        <v>283</v>
      </c>
      <c r="C24" s="209">
        <f t="shared" si="0"/>
        <v>50</v>
      </c>
      <c r="D24" s="204">
        <v>0</v>
      </c>
      <c r="E24" s="215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71"/>
      <c r="R24" s="168"/>
      <c r="S24" s="168"/>
      <c r="T24" s="216">
        <v>50</v>
      </c>
      <c r="U24" s="10"/>
      <c r="V24" s="171"/>
      <c r="W24" s="171"/>
      <c r="X24" s="171"/>
      <c r="Y24" s="171"/>
      <c r="Z24" s="171"/>
      <c r="AA24" s="171"/>
      <c r="AB24" s="171"/>
      <c r="AC24" s="171"/>
      <c r="AD24" s="171"/>
      <c r="AE24" s="107"/>
      <c r="AF24" s="106"/>
      <c r="AG24" s="106"/>
      <c r="AH24" s="106"/>
      <c r="AI24" s="106"/>
      <c r="AJ24" s="106"/>
      <c r="AK24" s="171"/>
      <c r="AL24" s="168"/>
      <c r="AM24" s="168"/>
      <c r="AN24" s="168"/>
      <c r="AO24" s="168"/>
      <c r="AP24" s="171"/>
      <c r="AQ24" s="205">
        <f t="shared" si="1"/>
        <v>50</v>
      </c>
    </row>
    <row r="25" spans="1:43" ht="15.75">
      <c r="A25" s="173"/>
      <c r="B25" s="178" t="s">
        <v>210</v>
      </c>
      <c r="C25" s="174">
        <f>SUM(C3:C22)</f>
        <v>3825</v>
      </c>
      <c r="D25" s="184">
        <f>SUM(D3:D24)</f>
        <v>2275</v>
      </c>
      <c r="E25" s="184">
        <f>SUM(E3:E23)</f>
        <v>275</v>
      </c>
      <c r="F25" s="174">
        <f t="shared" ref="F25:AE25" si="2">SUM(F3:F15)</f>
        <v>125</v>
      </c>
      <c r="G25" s="174">
        <f t="shared" si="2"/>
        <v>150</v>
      </c>
      <c r="H25" s="174">
        <f t="shared" si="2"/>
        <v>50</v>
      </c>
      <c r="I25" s="174">
        <f t="shared" si="2"/>
        <v>600</v>
      </c>
      <c r="J25" s="174">
        <f t="shared" si="2"/>
        <v>300</v>
      </c>
      <c r="K25" s="174">
        <f t="shared" si="2"/>
        <v>200</v>
      </c>
      <c r="L25" s="174">
        <f t="shared" si="2"/>
        <v>150</v>
      </c>
      <c r="M25" s="174">
        <f t="shared" si="2"/>
        <v>500</v>
      </c>
      <c r="N25" s="174">
        <f t="shared" si="2"/>
        <v>0</v>
      </c>
      <c r="O25" s="174">
        <f t="shared" si="2"/>
        <v>350</v>
      </c>
      <c r="P25" s="174">
        <f t="shared" si="2"/>
        <v>375</v>
      </c>
      <c r="Q25" s="174">
        <f t="shared" si="2"/>
        <v>0</v>
      </c>
      <c r="R25" s="174">
        <f t="shared" si="2"/>
        <v>250</v>
      </c>
      <c r="S25" s="174">
        <f t="shared" si="2"/>
        <v>175</v>
      </c>
      <c r="T25" s="174">
        <f t="shared" si="2"/>
        <v>75</v>
      </c>
      <c r="U25" s="262">
        <f t="shared" si="2"/>
        <v>0</v>
      </c>
      <c r="V25" s="174">
        <f t="shared" si="2"/>
        <v>0</v>
      </c>
      <c r="W25" s="174">
        <f t="shared" si="2"/>
        <v>0</v>
      </c>
      <c r="X25" s="174">
        <f t="shared" si="2"/>
        <v>0</v>
      </c>
      <c r="Y25" s="174">
        <f t="shared" si="2"/>
        <v>0</v>
      </c>
      <c r="Z25" s="174">
        <f t="shared" si="2"/>
        <v>0</v>
      </c>
      <c r="AA25" s="174">
        <f t="shared" si="2"/>
        <v>0</v>
      </c>
      <c r="AB25" s="174">
        <f t="shared" si="2"/>
        <v>0</v>
      </c>
      <c r="AC25" s="174">
        <f t="shared" si="2"/>
        <v>0</v>
      </c>
      <c r="AD25" s="174">
        <f t="shared" si="2"/>
        <v>0</v>
      </c>
      <c r="AE25" s="174">
        <f t="shared" si="2"/>
        <v>0</v>
      </c>
      <c r="AF25" s="174">
        <f>SUM(AF3:AF22)</f>
        <v>0</v>
      </c>
      <c r="AG25" s="174">
        <f>SUM(AG3:AG22)</f>
        <v>0</v>
      </c>
      <c r="AH25" s="174">
        <f t="shared" ref="AH25:AP25" si="3">SUM(AH3:AH15)</f>
        <v>0</v>
      </c>
      <c r="AI25" s="174">
        <f t="shared" si="3"/>
        <v>0</v>
      </c>
      <c r="AJ25" s="174">
        <f t="shared" si="3"/>
        <v>0</v>
      </c>
      <c r="AK25" s="174">
        <f t="shared" si="3"/>
        <v>0</v>
      </c>
      <c r="AL25" s="174">
        <f t="shared" si="3"/>
        <v>0</v>
      </c>
      <c r="AM25" s="174">
        <f t="shared" si="3"/>
        <v>0</v>
      </c>
      <c r="AN25" s="174">
        <f t="shared" si="3"/>
        <v>0</v>
      </c>
      <c r="AO25" s="174">
        <f t="shared" si="3"/>
        <v>0</v>
      </c>
      <c r="AP25" s="174">
        <f t="shared" si="3"/>
        <v>0</v>
      </c>
      <c r="AQ25" s="174">
        <f>SUM(AQ3:AQ22)</f>
        <v>3825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8"/>
  <sheetViews>
    <sheetView zoomScaleNormal="100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L28" sqref="L28"/>
    </sheetView>
  </sheetViews>
  <sheetFormatPr defaultRowHeight="15"/>
  <cols>
    <col min="1" max="1" width="9.140625" style="202"/>
    <col min="2" max="2" width="50.42578125" style="202" bestFit="1" customWidth="1"/>
    <col min="3" max="3" width="13.85546875" style="202" bestFit="1" customWidth="1"/>
    <col min="4" max="4" width="13.85546875" style="202" customWidth="1"/>
    <col min="5" max="7" width="13.85546875" style="202" bestFit="1" customWidth="1"/>
    <col min="8" max="16" width="12.42578125" style="202" bestFit="1" customWidth="1"/>
    <col min="17" max="33" width="12.42578125" style="202" hidden="1" customWidth="1"/>
    <col min="34" max="16384" width="9.140625" style="202"/>
  </cols>
  <sheetData>
    <row r="1" spans="1:33" ht="28.5">
      <c r="A1" s="175" t="s">
        <v>57</v>
      </c>
      <c r="B1" s="227" t="s">
        <v>10</v>
      </c>
      <c r="C1" s="189">
        <v>46174</v>
      </c>
      <c r="D1" s="189">
        <v>46174</v>
      </c>
      <c r="E1" s="189">
        <v>46175</v>
      </c>
      <c r="F1" s="189">
        <v>46176</v>
      </c>
      <c r="G1" s="189">
        <v>46177</v>
      </c>
      <c r="H1" s="189">
        <v>46178</v>
      </c>
      <c r="I1" s="189">
        <v>46179</v>
      </c>
      <c r="J1" s="189">
        <v>46180</v>
      </c>
      <c r="K1" s="189">
        <v>46181</v>
      </c>
      <c r="L1" s="189">
        <v>46182</v>
      </c>
      <c r="M1" s="189">
        <v>46183</v>
      </c>
      <c r="N1" s="189">
        <v>46184</v>
      </c>
      <c r="O1" s="189">
        <v>46185</v>
      </c>
      <c r="P1" s="189">
        <v>46186</v>
      </c>
      <c r="Q1" s="264">
        <v>46187</v>
      </c>
      <c r="R1" s="189">
        <v>46188</v>
      </c>
      <c r="S1" s="189">
        <v>46189</v>
      </c>
      <c r="T1" s="189">
        <v>46190</v>
      </c>
      <c r="U1" s="189">
        <v>46191</v>
      </c>
      <c r="V1" s="189">
        <v>46192</v>
      </c>
      <c r="W1" s="189">
        <v>46193</v>
      </c>
      <c r="X1" s="189">
        <v>46194</v>
      </c>
      <c r="Y1" s="189">
        <v>46195</v>
      </c>
      <c r="Z1" s="189">
        <v>46196</v>
      </c>
      <c r="AA1" s="189">
        <v>46197</v>
      </c>
      <c r="AB1" s="189">
        <v>46198</v>
      </c>
      <c r="AC1" s="189">
        <v>46199</v>
      </c>
      <c r="AD1" s="189">
        <v>46200</v>
      </c>
      <c r="AE1" s="189">
        <v>46201</v>
      </c>
      <c r="AF1" s="189">
        <v>46202</v>
      </c>
      <c r="AG1" s="189">
        <v>46203</v>
      </c>
    </row>
    <row r="2" spans="1:33" ht="18.75">
      <c r="A2" s="170">
        <v>1</v>
      </c>
      <c r="B2" s="8" t="s">
        <v>11</v>
      </c>
      <c r="C2" s="226">
        <v>50</v>
      </c>
      <c r="D2" s="226">
        <v>50</v>
      </c>
      <c r="E2" s="226">
        <v>50</v>
      </c>
      <c r="F2" s="226">
        <v>125</v>
      </c>
      <c r="G2" s="226">
        <v>50</v>
      </c>
      <c r="H2" s="226">
        <v>100</v>
      </c>
      <c r="I2" s="226"/>
      <c r="J2" s="226"/>
      <c r="K2" s="226"/>
      <c r="L2" s="226"/>
      <c r="M2" s="226"/>
      <c r="N2" s="226"/>
      <c r="O2" s="226"/>
      <c r="P2" s="226"/>
      <c r="Q2" s="225"/>
      <c r="R2" s="201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70"/>
    </row>
    <row r="3" spans="1:33" ht="18.75">
      <c r="A3" s="170">
        <v>2</v>
      </c>
      <c r="B3" s="8" t="s">
        <v>213</v>
      </c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5"/>
      <c r="R3" s="201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</row>
    <row r="4" spans="1:33" ht="18.75">
      <c r="A4" s="170">
        <v>3</v>
      </c>
      <c r="B4" s="8" t="s">
        <v>12</v>
      </c>
      <c r="C4" s="226"/>
      <c r="D4" s="226"/>
      <c r="E4" s="226"/>
      <c r="F4" s="226">
        <v>75</v>
      </c>
      <c r="G4" s="226">
        <v>25</v>
      </c>
      <c r="H4" s="226"/>
      <c r="I4" s="226">
        <v>150</v>
      </c>
      <c r="J4" s="226"/>
      <c r="K4" s="226">
        <v>25</v>
      </c>
      <c r="L4" s="226"/>
      <c r="M4" s="226"/>
      <c r="N4" s="226"/>
      <c r="O4" s="226"/>
      <c r="P4" s="226"/>
      <c r="Q4" s="225"/>
      <c r="R4" s="201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  <c r="AE4" s="170"/>
      <c r="AF4" s="170"/>
      <c r="AG4" s="170"/>
    </row>
    <row r="5" spans="1:33" ht="18.75">
      <c r="A5" s="170">
        <v>4</v>
      </c>
      <c r="B5" s="8" t="s">
        <v>13</v>
      </c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5"/>
      <c r="R5" s="201"/>
      <c r="S5" s="170"/>
      <c r="T5" s="170"/>
      <c r="U5" s="170"/>
      <c r="V5" s="170"/>
      <c r="W5" s="170"/>
      <c r="X5" s="170"/>
      <c r="Y5" s="170"/>
      <c r="Z5" s="170"/>
      <c r="AA5" s="170"/>
      <c r="AB5" s="170"/>
      <c r="AC5" s="170"/>
      <c r="AD5" s="170"/>
      <c r="AE5" s="170"/>
      <c r="AF5" s="170"/>
      <c r="AG5" s="170"/>
    </row>
    <row r="6" spans="1:33" ht="18.75">
      <c r="A6" s="170">
        <v>5</v>
      </c>
      <c r="B6" s="8" t="s">
        <v>77</v>
      </c>
      <c r="C6" s="226">
        <v>125</v>
      </c>
      <c r="D6" s="226">
        <v>125</v>
      </c>
      <c r="E6" s="226">
        <v>50</v>
      </c>
      <c r="F6" s="226">
        <v>100</v>
      </c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5"/>
      <c r="R6" s="201"/>
      <c r="S6" s="170"/>
      <c r="T6" s="170"/>
      <c r="U6" s="170"/>
      <c r="V6" s="170"/>
      <c r="W6" s="170"/>
      <c r="X6" s="170"/>
      <c r="Y6" s="170"/>
      <c r="Z6" s="170"/>
      <c r="AA6" s="170"/>
      <c r="AB6" s="170"/>
      <c r="AC6" s="170"/>
      <c r="AD6" s="170"/>
      <c r="AE6" s="170"/>
      <c r="AF6" s="170"/>
      <c r="AG6" s="170"/>
    </row>
    <row r="7" spans="1:33" ht="18.75">
      <c r="A7" s="170">
        <v>6</v>
      </c>
      <c r="B7" s="8" t="s">
        <v>78</v>
      </c>
      <c r="C7" s="226"/>
      <c r="D7" s="226"/>
      <c r="E7" s="226"/>
      <c r="F7" s="226"/>
      <c r="G7" s="226"/>
      <c r="H7" s="226"/>
      <c r="I7" s="226"/>
      <c r="J7" s="226"/>
      <c r="K7" s="226">
        <v>25</v>
      </c>
      <c r="L7" s="226"/>
      <c r="M7" s="226"/>
      <c r="N7" s="226"/>
      <c r="O7" s="226"/>
      <c r="P7" s="226"/>
      <c r="Q7" s="225"/>
      <c r="R7" s="201"/>
      <c r="S7" s="170"/>
      <c r="T7" s="170"/>
      <c r="U7" s="170"/>
      <c r="V7" s="170"/>
      <c r="W7" s="170"/>
      <c r="X7" s="170"/>
      <c r="Y7" s="170"/>
      <c r="Z7" s="170"/>
      <c r="AA7" s="170"/>
      <c r="AB7" s="170"/>
      <c r="AC7" s="170"/>
      <c r="AD7" s="170"/>
      <c r="AE7" s="170"/>
      <c r="AF7" s="170"/>
      <c r="AG7" s="170"/>
    </row>
    <row r="8" spans="1:33" ht="18.75">
      <c r="A8" s="170">
        <v>7</v>
      </c>
      <c r="B8" s="8" t="s">
        <v>270</v>
      </c>
      <c r="C8" s="226"/>
      <c r="D8" s="226"/>
      <c r="E8" s="226"/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5"/>
      <c r="R8" s="201"/>
      <c r="S8" s="170"/>
      <c r="T8" s="170"/>
      <c r="U8" s="170"/>
      <c r="V8" s="170"/>
      <c r="W8" s="170"/>
      <c r="X8" s="170"/>
      <c r="Y8" s="170"/>
      <c r="Z8" s="170"/>
      <c r="AA8" s="170"/>
      <c r="AB8" s="170"/>
      <c r="AC8" s="170"/>
      <c r="AD8" s="170"/>
      <c r="AE8" s="170"/>
      <c r="AF8" s="170"/>
      <c r="AG8" s="170"/>
    </row>
    <row r="9" spans="1:33" ht="18.75">
      <c r="A9" s="170">
        <v>8</v>
      </c>
      <c r="B9" s="8" t="s">
        <v>15</v>
      </c>
      <c r="C9" s="226"/>
      <c r="D9" s="226"/>
      <c r="E9" s="226"/>
      <c r="F9" s="226"/>
      <c r="G9" s="226"/>
      <c r="H9" s="226"/>
      <c r="I9" s="226">
        <v>25</v>
      </c>
      <c r="J9" s="226"/>
      <c r="K9" s="226"/>
      <c r="L9" s="226"/>
      <c r="M9" s="226"/>
      <c r="N9" s="226"/>
      <c r="O9" s="226"/>
      <c r="P9" s="226"/>
      <c r="Q9" s="225"/>
      <c r="R9" s="201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</row>
    <row r="10" spans="1:33" ht="18.75">
      <c r="A10" s="170">
        <v>9</v>
      </c>
      <c r="B10" s="8" t="s">
        <v>16</v>
      </c>
      <c r="C10" s="226"/>
      <c r="D10" s="226"/>
      <c r="E10" s="226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5"/>
      <c r="R10" s="201"/>
      <c r="S10" s="170"/>
      <c r="T10" s="201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</row>
    <row r="11" spans="1:33" ht="18.75">
      <c r="A11" s="170">
        <v>10</v>
      </c>
      <c r="B11" s="8" t="s">
        <v>17</v>
      </c>
      <c r="C11" s="226"/>
      <c r="D11" s="226"/>
      <c r="E11" s="226"/>
      <c r="F11" s="226">
        <v>125</v>
      </c>
      <c r="G11" s="226">
        <v>125</v>
      </c>
      <c r="H11" s="226"/>
      <c r="I11" s="226">
        <v>200</v>
      </c>
      <c r="J11" s="226"/>
      <c r="K11" s="226">
        <v>125</v>
      </c>
      <c r="L11" s="226"/>
      <c r="M11" s="226"/>
      <c r="N11" s="226"/>
      <c r="O11" s="226"/>
      <c r="P11" s="226"/>
      <c r="Q11" s="225"/>
      <c r="R11" s="201"/>
      <c r="S11" s="170"/>
      <c r="T11" s="170"/>
      <c r="U11" s="170"/>
      <c r="V11" s="170"/>
      <c r="W11" s="170"/>
      <c r="X11" s="170"/>
      <c r="Y11" s="170"/>
      <c r="Z11" s="170"/>
      <c r="AA11" s="170"/>
      <c r="AB11" s="170"/>
      <c r="AC11" s="170"/>
      <c r="AD11" s="170"/>
      <c r="AE11" s="170"/>
      <c r="AF11" s="170"/>
      <c r="AG11" s="170"/>
    </row>
    <row r="12" spans="1:33" ht="18.75">
      <c r="A12" s="170">
        <v>11</v>
      </c>
      <c r="B12" s="8" t="s">
        <v>79</v>
      </c>
      <c r="C12" s="226"/>
      <c r="D12" s="226"/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5"/>
      <c r="R12" s="201"/>
      <c r="S12" s="170"/>
      <c r="T12" s="170"/>
      <c r="U12" s="170"/>
      <c r="V12" s="170"/>
      <c r="W12" s="170"/>
      <c r="X12" s="170"/>
      <c r="Y12" s="170"/>
      <c r="Z12" s="170"/>
      <c r="AA12" s="170"/>
      <c r="AB12" s="170"/>
      <c r="AC12" s="170"/>
      <c r="AD12" s="170"/>
      <c r="AE12" s="170"/>
      <c r="AF12" s="170"/>
      <c r="AG12" s="170"/>
    </row>
    <row r="13" spans="1:33" ht="18.75">
      <c r="A13" s="170">
        <v>12</v>
      </c>
      <c r="B13" s="8" t="s">
        <v>80</v>
      </c>
      <c r="C13" s="226"/>
      <c r="D13" s="226"/>
      <c r="E13" s="226"/>
      <c r="F13" s="226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5"/>
      <c r="R13" s="201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  <c r="AC13" s="170"/>
      <c r="AD13" s="170"/>
      <c r="AE13" s="170"/>
      <c r="AF13" s="170"/>
      <c r="AG13" s="170"/>
    </row>
    <row r="14" spans="1:33" ht="18.75">
      <c r="A14" s="170">
        <v>13</v>
      </c>
      <c r="B14" s="8" t="s">
        <v>20</v>
      </c>
      <c r="C14" s="226"/>
      <c r="D14" s="226"/>
      <c r="E14" s="226"/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5"/>
      <c r="R14" s="201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  <c r="AE14" s="170"/>
      <c r="AF14" s="170"/>
      <c r="AG14" s="170"/>
    </row>
    <row r="15" spans="1:33" ht="18.75">
      <c r="A15" s="170">
        <v>14</v>
      </c>
      <c r="B15" s="8" t="s">
        <v>81</v>
      </c>
      <c r="C15" s="226"/>
      <c r="D15" s="226"/>
      <c r="E15" s="226"/>
      <c r="F15" s="226"/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5"/>
      <c r="R15" s="201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</row>
    <row r="16" spans="1:33" ht="18.75">
      <c r="A16" s="170">
        <v>15</v>
      </c>
      <c r="B16" s="8" t="s">
        <v>21</v>
      </c>
      <c r="C16" s="170"/>
      <c r="D16" s="170"/>
      <c r="E16" s="170"/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265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</row>
    <row r="17" spans="1:33" ht="18.75">
      <c r="A17" s="170">
        <v>16</v>
      </c>
      <c r="B17" s="8" t="s">
        <v>82</v>
      </c>
      <c r="C17" s="170"/>
      <c r="D17" s="170"/>
      <c r="E17" s="170"/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265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0"/>
      <c r="AG17" s="170"/>
    </row>
    <row r="18" spans="1:33" ht="18.75">
      <c r="A18" s="170">
        <v>17</v>
      </c>
      <c r="B18" s="8" t="s">
        <v>23</v>
      </c>
      <c r="C18" s="170"/>
      <c r="D18" s="170"/>
      <c r="E18" s="170"/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265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</row>
    <row r="19" spans="1:33" ht="18.75">
      <c r="A19" s="170">
        <v>18</v>
      </c>
      <c r="B19" s="8" t="s">
        <v>24</v>
      </c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265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</row>
    <row r="20" spans="1:33" ht="18.75">
      <c r="A20" s="170">
        <v>19</v>
      </c>
      <c r="B20" s="186" t="s">
        <v>246</v>
      </c>
      <c r="C20" s="170"/>
      <c r="D20" s="170"/>
      <c r="E20" s="170"/>
      <c r="F20" s="170">
        <v>25</v>
      </c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265"/>
      <c r="R20" s="170"/>
      <c r="S20" s="170"/>
      <c r="T20" s="170"/>
      <c r="U20" s="170"/>
      <c r="V20" s="170"/>
      <c r="W20" s="170"/>
      <c r="X20" s="170"/>
      <c r="Y20" s="170"/>
      <c r="Z20" s="170"/>
      <c r="AA20" s="170"/>
      <c r="AB20" s="170"/>
      <c r="AC20" s="170"/>
      <c r="AD20" s="170"/>
      <c r="AE20" s="170"/>
      <c r="AF20" s="170"/>
      <c r="AG20" s="170"/>
    </row>
    <row r="21" spans="1:33" ht="18.75">
      <c r="A21" s="170">
        <v>20</v>
      </c>
      <c r="B21" s="187" t="s">
        <v>222</v>
      </c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0"/>
      <c r="Q21" s="265"/>
      <c r="R21" s="170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  <c r="AE21" s="170"/>
      <c r="AF21" s="170"/>
      <c r="AG21" s="170"/>
    </row>
    <row r="22" spans="1:33" ht="18.75">
      <c r="A22" s="170">
        <v>21</v>
      </c>
      <c r="B22" s="186" t="s">
        <v>219</v>
      </c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265"/>
      <c r="R22" s="170"/>
      <c r="S22" s="170"/>
      <c r="T22" s="170"/>
      <c r="U22" s="170"/>
      <c r="V22" s="170"/>
      <c r="W22" s="170"/>
      <c r="X22" s="170"/>
      <c r="Y22" s="170"/>
      <c r="Z22" s="170"/>
      <c r="AA22" s="170"/>
      <c r="AB22" s="170"/>
      <c r="AC22" s="170"/>
      <c r="AD22" s="170"/>
      <c r="AE22" s="170"/>
      <c r="AF22" s="170"/>
      <c r="AG22" s="170"/>
    </row>
    <row r="23" spans="1:33" ht="18.75">
      <c r="A23" s="170">
        <v>22</v>
      </c>
      <c r="B23" s="186" t="s">
        <v>220</v>
      </c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265"/>
      <c r="R23" s="170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  <c r="AE23" s="170"/>
      <c r="AF23" s="170"/>
      <c r="AG23" s="170"/>
    </row>
    <row r="24" spans="1:33" ht="18.75">
      <c r="A24" s="170">
        <v>23</v>
      </c>
      <c r="B24" s="186" t="s">
        <v>221</v>
      </c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265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</row>
    <row r="25" spans="1:33" ht="18.75">
      <c r="A25" s="170">
        <v>24</v>
      </c>
      <c r="B25" s="186" t="s">
        <v>215</v>
      </c>
      <c r="C25" s="170"/>
      <c r="D25" s="170"/>
      <c r="E25" s="170"/>
      <c r="F25" s="170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265"/>
      <c r="R25" s="170"/>
      <c r="S25" s="170"/>
      <c r="T25" s="170"/>
      <c r="U25" s="170"/>
      <c r="V25" s="170"/>
      <c r="W25" s="170"/>
      <c r="X25" s="170"/>
      <c r="Y25" s="170"/>
      <c r="Z25" s="170"/>
      <c r="AA25" s="170"/>
      <c r="AB25" s="170"/>
      <c r="AC25" s="170"/>
      <c r="AD25" s="170"/>
      <c r="AE25" s="170"/>
      <c r="AF25" s="170"/>
      <c r="AG25" s="170"/>
    </row>
    <row r="26" spans="1:33" ht="18.75">
      <c r="A26" s="170">
        <v>25</v>
      </c>
      <c r="B26" s="186" t="s">
        <v>258</v>
      </c>
      <c r="C26" s="170">
        <v>25</v>
      </c>
      <c r="D26" s="170">
        <v>25</v>
      </c>
      <c r="E26" s="170"/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265"/>
      <c r="R26" s="170"/>
      <c r="S26" s="170"/>
      <c r="T26" s="170"/>
      <c r="U26" s="170"/>
      <c r="V26" s="170"/>
      <c r="W26" s="170"/>
      <c r="X26" s="170"/>
      <c r="Y26" s="170"/>
      <c r="Z26" s="170"/>
      <c r="AA26" s="170"/>
      <c r="AB26" s="170"/>
      <c r="AC26" s="170"/>
      <c r="AD26" s="170"/>
      <c r="AE26" s="170"/>
      <c r="AF26" s="170"/>
      <c r="AG26" s="170"/>
    </row>
    <row r="27" spans="1:33" ht="18.75">
      <c r="A27" s="170">
        <v>26</v>
      </c>
      <c r="B27" s="186" t="s">
        <v>223</v>
      </c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265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</row>
    <row r="28" spans="1:33" ht="18.75">
      <c r="A28" s="170"/>
      <c r="B28" s="186" t="s">
        <v>284</v>
      </c>
      <c r="C28" s="170"/>
      <c r="D28" s="170"/>
      <c r="E28" s="170"/>
      <c r="F28" s="170"/>
      <c r="G28" s="170"/>
      <c r="H28" s="170"/>
      <c r="I28" s="170"/>
      <c r="J28" s="170"/>
      <c r="K28" s="170"/>
      <c r="L28" s="170">
        <v>25</v>
      </c>
      <c r="M28" s="170"/>
      <c r="N28" s="170"/>
      <c r="O28" s="170"/>
      <c r="P28" s="170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60"/>
  <sheetViews>
    <sheetView zoomScaleNormal="100" workbookViewId="0">
      <pane xSplit="2" ySplit="1" topLeftCell="G2" activePane="bottomRight" state="frozen"/>
      <selection pane="topRight" activeCell="C1" sqref="C1"/>
      <selection pane="bottomLeft" activeCell="A2" sqref="A2"/>
      <selection pane="bottomRight" activeCell="K29" sqref="K29"/>
    </sheetView>
  </sheetViews>
  <sheetFormatPr defaultRowHeight="15"/>
  <cols>
    <col min="1" max="1" width="50.85546875" customWidth="1"/>
    <col min="2" max="2" width="18.5703125" bestFit="1" customWidth="1"/>
    <col min="3" max="4" width="13.85546875" style="167" bestFit="1" customWidth="1"/>
    <col min="5" max="5" width="13.85546875" style="167" customWidth="1"/>
    <col min="6" max="6" width="13.85546875" style="167" bestFit="1" customWidth="1"/>
    <col min="7" max="11" width="12.42578125" style="167" bestFit="1" customWidth="1"/>
    <col min="12" max="15" width="12.42578125" bestFit="1" customWidth="1"/>
    <col min="16" max="32" width="12.42578125" hidden="1" customWidth="1"/>
  </cols>
  <sheetData>
    <row r="1" spans="1:36" ht="28.5">
      <c r="A1" s="218" t="s">
        <v>9</v>
      </c>
      <c r="B1" s="218"/>
      <c r="C1" s="219"/>
      <c r="D1" s="220" t="s">
        <v>50</v>
      </c>
      <c r="E1" s="221"/>
      <c r="F1" s="221"/>
      <c r="G1" s="221"/>
      <c r="H1" s="221"/>
      <c r="I1" s="221"/>
      <c r="J1" s="221"/>
      <c r="K1" s="220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17"/>
      <c r="AH1" s="217"/>
      <c r="AI1" s="217"/>
      <c r="AJ1" s="217"/>
    </row>
    <row r="2" spans="1:36" ht="23.25" customHeight="1">
      <c r="A2" s="8" t="s">
        <v>8</v>
      </c>
      <c r="B2" s="8"/>
      <c r="C2" s="9">
        <v>46174</v>
      </c>
      <c r="D2" s="9">
        <v>46175</v>
      </c>
      <c r="E2" s="9">
        <v>46176</v>
      </c>
      <c r="F2" s="9">
        <v>46177</v>
      </c>
      <c r="G2" s="9">
        <v>46178</v>
      </c>
      <c r="H2" s="9">
        <v>46179</v>
      </c>
      <c r="I2" s="9">
        <v>46180</v>
      </c>
      <c r="J2" s="9">
        <v>46181</v>
      </c>
      <c r="K2" s="9">
        <v>46182</v>
      </c>
      <c r="L2" s="9">
        <v>46183</v>
      </c>
      <c r="M2" s="9">
        <v>46184</v>
      </c>
      <c r="N2" s="9">
        <v>46185</v>
      </c>
      <c r="O2" s="9">
        <v>46186</v>
      </c>
      <c r="P2" s="9">
        <v>46187</v>
      </c>
      <c r="Q2" s="9">
        <v>46188</v>
      </c>
      <c r="R2" s="9">
        <v>46189</v>
      </c>
      <c r="S2" s="9">
        <v>46190</v>
      </c>
      <c r="T2" s="9">
        <v>46191</v>
      </c>
      <c r="U2" s="9">
        <v>46192</v>
      </c>
      <c r="V2" s="9">
        <v>46193</v>
      </c>
      <c r="W2" s="9">
        <v>46194</v>
      </c>
      <c r="X2" s="9">
        <v>46195</v>
      </c>
      <c r="Y2" s="9">
        <v>46196</v>
      </c>
      <c r="Z2" s="9">
        <v>46197</v>
      </c>
      <c r="AA2" s="9">
        <v>46198</v>
      </c>
      <c r="AB2" s="9">
        <v>46199</v>
      </c>
      <c r="AC2" s="9">
        <v>46200</v>
      </c>
      <c r="AD2" s="9">
        <v>46201</v>
      </c>
      <c r="AE2" s="9">
        <v>46202</v>
      </c>
      <c r="AF2" s="9">
        <v>46203</v>
      </c>
    </row>
    <row r="3" spans="1:36" ht="23.25" customHeight="1">
      <c r="A3" s="8" t="s">
        <v>39</v>
      </c>
      <c r="B3" s="8" t="s">
        <v>0</v>
      </c>
      <c r="C3" s="10"/>
      <c r="D3" s="10"/>
      <c r="E3" s="10"/>
      <c r="F3" s="10"/>
      <c r="G3" s="10"/>
      <c r="H3" s="10"/>
      <c r="I3" s="10"/>
      <c r="J3" s="10"/>
      <c r="K3" s="10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</row>
    <row r="4" spans="1:36" ht="23.25" customHeight="1">
      <c r="A4" s="8" t="s">
        <v>40</v>
      </c>
      <c r="B4" s="8" t="s">
        <v>0</v>
      </c>
      <c r="C4" s="10"/>
      <c r="D4" s="10"/>
      <c r="E4" s="10"/>
      <c r="F4" s="10"/>
      <c r="G4" s="10"/>
      <c r="H4" s="10"/>
      <c r="I4" s="10"/>
      <c r="J4" s="10"/>
      <c r="K4" s="10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  <c r="AC4" s="171"/>
      <c r="AD4" s="171"/>
      <c r="AE4" s="171"/>
      <c r="AF4" s="171"/>
    </row>
    <row r="5" spans="1:36" ht="23.25" customHeight="1">
      <c r="A5" s="8" t="s">
        <v>41</v>
      </c>
      <c r="B5" s="8" t="s">
        <v>0</v>
      </c>
      <c r="C5" s="10"/>
      <c r="D5" s="10"/>
      <c r="E5" s="10"/>
      <c r="F5" s="10"/>
      <c r="G5" s="10"/>
      <c r="H5" s="10"/>
      <c r="I5" s="10"/>
      <c r="J5" s="10"/>
      <c r="K5" s="10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1"/>
      <c r="AF5" s="171"/>
    </row>
    <row r="6" spans="1:36" ht="23.25" customHeight="1">
      <c r="A6" s="8" t="s">
        <v>42</v>
      </c>
      <c r="B6" s="8" t="s">
        <v>0</v>
      </c>
      <c r="C6" s="10"/>
      <c r="D6" s="10"/>
      <c r="E6" s="10"/>
      <c r="F6" s="10"/>
      <c r="G6" s="10"/>
      <c r="H6" s="10"/>
      <c r="I6" s="10"/>
      <c r="J6" s="10"/>
      <c r="K6" s="10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  <c r="AC6" s="171"/>
      <c r="AD6" s="171"/>
      <c r="AE6" s="171"/>
      <c r="AF6" s="171"/>
    </row>
    <row r="7" spans="1:36" ht="23.25" customHeight="1">
      <c r="A7" s="8" t="s">
        <v>43</v>
      </c>
      <c r="B7" s="8" t="s">
        <v>0</v>
      </c>
      <c r="C7" s="10"/>
      <c r="D7" s="10"/>
      <c r="E7" s="10"/>
      <c r="F7" s="10"/>
      <c r="G7" s="10"/>
      <c r="H7" s="10"/>
      <c r="I7" s="10"/>
      <c r="J7" s="10"/>
      <c r="K7" s="10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</row>
    <row r="8" spans="1:36" ht="23.25" customHeight="1">
      <c r="A8" s="8" t="s">
        <v>44</v>
      </c>
      <c r="B8" s="8" t="s">
        <v>2</v>
      </c>
      <c r="C8" s="10"/>
      <c r="D8" s="10"/>
      <c r="E8" s="10"/>
      <c r="F8" s="10"/>
      <c r="G8" s="10"/>
      <c r="H8" s="10"/>
      <c r="I8" s="10"/>
      <c r="J8" s="10"/>
      <c r="K8" s="10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1"/>
      <c r="AC8" s="171"/>
      <c r="AD8" s="171"/>
      <c r="AE8" s="171"/>
      <c r="AF8" s="171"/>
    </row>
    <row r="9" spans="1:36" ht="23.25" customHeight="1">
      <c r="A9" s="8" t="s">
        <v>45</v>
      </c>
      <c r="B9" s="8" t="s">
        <v>2</v>
      </c>
      <c r="C9" s="10"/>
      <c r="D9" s="10"/>
      <c r="E9" s="10"/>
      <c r="F9" s="10"/>
      <c r="G9" s="10"/>
      <c r="H9" s="10"/>
      <c r="I9" s="10"/>
      <c r="J9" s="10"/>
      <c r="K9" s="10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  <c r="AC9" s="171"/>
      <c r="AD9" s="171"/>
      <c r="AE9" s="171"/>
      <c r="AF9" s="171"/>
    </row>
    <row r="10" spans="1:36" ht="23.25" customHeight="1">
      <c r="A10" s="8" t="s">
        <v>243</v>
      </c>
      <c r="B10" s="8" t="s">
        <v>98</v>
      </c>
      <c r="C10" s="10">
        <v>25</v>
      </c>
      <c r="D10" s="10"/>
      <c r="E10" s="10">
        <v>25</v>
      </c>
      <c r="F10" s="10"/>
      <c r="G10" s="10"/>
      <c r="H10" s="10">
        <v>25</v>
      </c>
      <c r="I10" s="10"/>
      <c r="J10" s="10"/>
      <c r="K10" s="10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  <c r="AA10" s="171"/>
      <c r="AB10" s="171"/>
      <c r="AC10" s="171"/>
      <c r="AD10" s="171"/>
      <c r="AE10" s="171"/>
      <c r="AF10" s="171"/>
    </row>
    <row r="11" spans="1:36" ht="23.25" customHeight="1">
      <c r="A11" s="8" t="s">
        <v>46</v>
      </c>
      <c r="B11" s="8" t="s">
        <v>2</v>
      </c>
      <c r="C11" s="10"/>
      <c r="D11" s="10"/>
      <c r="E11" s="10"/>
      <c r="F11" s="10">
        <v>25</v>
      </c>
      <c r="G11" s="10"/>
      <c r="H11" s="10"/>
      <c r="I11" s="10"/>
      <c r="J11" s="10"/>
      <c r="K11" s="10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</row>
    <row r="12" spans="1:36" ht="23.25" customHeight="1">
      <c r="A12" s="8" t="s">
        <v>47</v>
      </c>
      <c r="B12" s="8" t="s">
        <v>2</v>
      </c>
      <c r="C12" s="10"/>
      <c r="D12" s="10"/>
      <c r="E12" s="10"/>
      <c r="F12" s="10"/>
      <c r="G12" s="10"/>
      <c r="H12" s="10"/>
      <c r="I12" s="10"/>
      <c r="J12" s="10"/>
      <c r="K12" s="10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/>
      <c r="AC12" s="171"/>
      <c r="AD12" s="171"/>
      <c r="AE12" s="171"/>
      <c r="AF12" s="171"/>
    </row>
    <row r="13" spans="1:36" ht="23.25" customHeight="1">
      <c r="A13" s="8" t="s">
        <v>48</v>
      </c>
      <c r="B13" s="8" t="s">
        <v>3</v>
      </c>
      <c r="C13" s="10"/>
      <c r="D13" s="10"/>
      <c r="E13" s="10">
        <v>25</v>
      </c>
      <c r="F13" s="10">
        <v>25</v>
      </c>
      <c r="G13" s="10">
        <v>25</v>
      </c>
      <c r="H13" s="10"/>
      <c r="I13" s="10"/>
      <c r="J13" s="10">
        <v>25</v>
      </c>
      <c r="K13" s="10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  <c r="AC13" s="171"/>
      <c r="AD13" s="171"/>
      <c r="AE13" s="171"/>
      <c r="AF13" s="171"/>
    </row>
    <row r="14" spans="1:36" ht="23.25" customHeight="1">
      <c r="A14" s="8" t="s">
        <v>49</v>
      </c>
      <c r="B14" s="8" t="s">
        <v>6</v>
      </c>
      <c r="C14" s="10"/>
      <c r="D14" s="10"/>
      <c r="E14" s="10"/>
      <c r="F14" s="10"/>
      <c r="G14" s="10"/>
      <c r="H14" s="10"/>
      <c r="I14" s="10"/>
      <c r="J14" s="10"/>
      <c r="K14" s="10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  <c r="AA14" s="171"/>
      <c r="AB14" s="171"/>
      <c r="AC14" s="171"/>
      <c r="AD14" s="171"/>
      <c r="AE14" s="171"/>
      <c r="AF14" s="171"/>
    </row>
    <row r="15" spans="1:36" ht="23.25" customHeight="1">
      <c r="A15" s="8" t="s">
        <v>253</v>
      </c>
      <c r="B15" s="8"/>
      <c r="C15" s="10"/>
      <c r="D15" s="10"/>
      <c r="E15" s="10"/>
      <c r="F15" s="10"/>
      <c r="G15" s="10">
        <v>25</v>
      </c>
      <c r="H15" s="10"/>
      <c r="I15" s="10"/>
      <c r="J15" s="10"/>
      <c r="K15" s="10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  <c r="AF15" s="171"/>
    </row>
    <row r="16" spans="1:36" ht="23.25" customHeight="1">
      <c r="A16" s="8" t="s">
        <v>262</v>
      </c>
      <c r="B16" s="8"/>
      <c r="C16" s="10"/>
      <c r="D16" s="10"/>
      <c r="E16" s="10">
        <v>25</v>
      </c>
      <c r="F16" s="10"/>
      <c r="G16" s="10"/>
      <c r="H16" s="10"/>
      <c r="I16" s="10"/>
      <c r="J16" s="10"/>
      <c r="K16" s="10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  <c r="AB16" s="171"/>
      <c r="AC16" s="171"/>
      <c r="AD16" s="171"/>
      <c r="AE16" s="171"/>
      <c r="AF16" s="171"/>
    </row>
    <row r="17" spans="1:32" s="247" customFormat="1" ht="23.25" customHeight="1" thickBot="1">
      <c r="A17" s="245"/>
      <c r="B17" s="246"/>
      <c r="C17" s="246"/>
      <c r="D17" s="246"/>
      <c r="E17" s="246"/>
      <c r="F17" s="246"/>
      <c r="G17" s="246"/>
      <c r="H17" s="246"/>
      <c r="I17" s="246"/>
      <c r="J17" s="246"/>
      <c r="K17" s="246"/>
    </row>
    <row r="18" spans="1:32" s="163" customFormat="1" ht="23.25" customHeight="1">
      <c r="A18" s="238" t="s">
        <v>25</v>
      </c>
      <c r="B18" s="239"/>
      <c r="C18" s="185">
        <v>46174</v>
      </c>
      <c r="D18" s="185">
        <v>46175</v>
      </c>
      <c r="E18" s="185">
        <v>46176</v>
      </c>
      <c r="F18" s="185">
        <v>46177</v>
      </c>
      <c r="G18" s="185">
        <v>46178</v>
      </c>
      <c r="H18" s="185">
        <v>46179</v>
      </c>
      <c r="I18" s="185">
        <v>46180</v>
      </c>
      <c r="J18" s="185">
        <v>46181</v>
      </c>
      <c r="K18" s="185">
        <v>46182</v>
      </c>
      <c r="L18" s="185">
        <v>46183</v>
      </c>
      <c r="M18" s="185">
        <v>46184</v>
      </c>
      <c r="N18" s="185">
        <v>46185</v>
      </c>
      <c r="O18" s="185">
        <v>46186</v>
      </c>
      <c r="P18" s="185">
        <v>46187</v>
      </c>
      <c r="Q18" s="185">
        <v>46188</v>
      </c>
      <c r="R18" s="185">
        <v>46189</v>
      </c>
      <c r="S18" s="185">
        <v>46190</v>
      </c>
      <c r="T18" s="185">
        <v>46191</v>
      </c>
      <c r="U18" s="185">
        <v>46192</v>
      </c>
      <c r="V18" s="185">
        <v>46193</v>
      </c>
      <c r="W18" s="185">
        <v>46194</v>
      </c>
      <c r="X18" s="185">
        <v>46195</v>
      </c>
      <c r="Y18" s="185">
        <v>46196</v>
      </c>
      <c r="Z18" s="185">
        <v>46197</v>
      </c>
      <c r="AA18" s="185">
        <v>46198</v>
      </c>
      <c r="AB18" s="185">
        <v>46199</v>
      </c>
      <c r="AC18" s="185">
        <v>46200</v>
      </c>
      <c r="AD18" s="185">
        <v>46201</v>
      </c>
      <c r="AE18" s="185">
        <v>46202</v>
      </c>
      <c r="AF18" s="185">
        <v>46203</v>
      </c>
    </row>
    <row r="19" spans="1:32" ht="23.25" customHeight="1">
      <c r="A19" s="12" t="s">
        <v>32</v>
      </c>
      <c r="B19" s="8" t="s">
        <v>0</v>
      </c>
      <c r="C19" s="10"/>
      <c r="D19" s="10"/>
      <c r="E19" s="10"/>
      <c r="F19" s="10"/>
      <c r="G19" s="10"/>
      <c r="H19" s="10"/>
      <c r="I19" s="10"/>
      <c r="J19" s="10"/>
      <c r="K19" s="10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  <c r="AB19" s="171"/>
      <c r="AC19" s="171"/>
      <c r="AD19" s="171"/>
      <c r="AE19" s="171"/>
      <c r="AF19" s="171"/>
    </row>
    <row r="20" spans="1:32" ht="23.25" customHeight="1">
      <c r="A20" s="12" t="s">
        <v>26</v>
      </c>
      <c r="B20" s="8" t="s">
        <v>0</v>
      </c>
      <c r="C20" s="10"/>
      <c r="D20" s="10"/>
      <c r="E20" s="10">
        <v>200</v>
      </c>
      <c r="F20" s="10">
        <v>275</v>
      </c>
      <c r="G20" s="10">
        <v>300</v>
      </c>
      <c r="H20" s="10"/>
      <c r="I20" s="10"/>
      <c r="J20" s="10">
        <v>100</v>
      </c>
      <c r="K20" s="10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  <c r="AB20" s="171"/>
      <c r="AC20" s="171"/>
      <c r="AD20" s="171"/>
      <c r="AE20" s="171"/>
      <c r="AF20" s="171"/>
    </row>
    <row r="21" spans="1:32" ht="23.25" customHeight="1">
      <c r="A21" s="12" t="s">
        <v>27</v>
      </c>
      <c r="B21" s="8" t="s">
        <v>0</v>
      </c>
      <c r="C21" s="10">
        <v>25</v>
      </c>
      <c r="D21" s="10">
        <v>75</v>
      </c>
      <c r="E21" s="10"/>
      <c r="F21" s="10"/>
      <c r="G21" s="10"/>
      <c r="H21" s="10"/>
      <c r="I21" s="10"/>
      <c r="J21" s="10"/>
      <c r="K21" s="10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  <c r="AB21" s="171"/>
      <c r="AC21" s="171"/>
      <c r="AD21" s="171"/>
      <c r="AE21" s="171"/>
      <c r="AF21" s="171"/>
    </row>
    <row r="22" spans="1:32" ht="23.25" customHeight="1">
      <c r="A22" s="12" t="s">
        <v>28</v>
      </c>
      <c r="B22" s="8" t="s">
        <v>0</v>
      </c>
      <c r="C22" s="10"/>
      <c r="D22" s="10">
        <v>275</v>
      </c>
      <c r="E22" s="10">
        <v>675</v>
      </c>
      <c r="F22" s="10">
        <v>700</v>
      </c>
      <c r="G22" s="10">
        <v>50</v>
      </c>
      <c r="H22" s="10">
        <v>625</v>
      </c>
      <c r="I22" s="10"/>
      <c r="J22" s="10">
        <v>600</v>
      </c>
      <c r="K22" s="10">
        <v>150</v>
      </c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  <c r="AB22" s="171"/>
      <c r="AC22" s="171"/>
      <c r="AD22" s="171"/>
      <c r="AE22" s="171"/>
      <c r="AF22" s="171"/>
    </row>
    <row r="23" spans="1:32" ht="23.25" customHeight="1">
      <c r="A23" s="12" t="s">
        <v>29</v>
      </c>
      <c r="B23" s="8" t="s">
        <v>2</v>
      </c>
      <c r="C23" s="10"/>
      <c r="D23" s="10"/>
      <c r="E23" s="10"/>
      <c r="F23" s="10"/>
      <c r="G23" s="10"/>
      <c r="H23" s="10"/>
      <c r="I23" s="10"/>
      <c r="J23" s="10"/>
      <c r="K23" s="10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  <c r="AB23" s="171"/>
      <c r="AC23" s="171"/>
      <c r="AD23" s="171"/>
      <c r="AE23" s="171"/>
      <c r="AF23" s="171"/>
    </row>
    <row r="24" spans="1:32" ht="23.25" customHeight="1">
      <c r="A24" s="12" t="s">
        <v>30</v>
      </c>
      <c r="B24" s="8" t="s">
        <v>2</v>
      </c>
      <c r="C24" s="10"/>
      <c r="D24" s="10"/>
      <c r="E24" s="10"/>
      <c r="F24" s="10"/>
      <c r="G24" s="10"/>
      <c r="H24" s="10"/>
      <c r="I24" s="10"/>
      <c r="J24" s="10"/>
      <c r="K24" s="10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  <c r="AA24" s="171"/>
      <c r="AB24" s="171"/>
      <c r="AC24" s="171"/>
      <c r="AD24" s="171"/>
      <c r="AE24" s="171"/>
      <c r="AF24" s="171"/>
    </row>
    <row r="25" spans="1:32" ht="23.25" customHeight="1">
      <c r="A25" s="12" t="s">
        <v>31</v>
      </c>
      <c r="B25" s="8" t="s">
        <v>2</v>
      </c>
      <c r="C25" s="10"/>
      <c r="D25" s="10"/>
      <c r="E25" s="10"/>
      <c r="F25" s="10"/>
      <c r="G25" s="10"/>
      <c r="H25" s="10"/>
      <c r="I25" s="10"/>
      <c r="J25" s="10"/>
      <c r="K25" s="10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  <c r="AB25" s="171"/>
      <c r="AC25" s="171"/>
      <c r="AD25" s="171"/>
      <c r="AE25" s="171"/>
      <c r="AF25" s="171"/>
    </row>
    <row r="26" spans="1:32" ht="23.25" customHeight="1">
      <c r="A26" s="12" t="s">
        <v>33</v>
      </c>
      <c r="B26" s="8" t="s">
        <v>2</v>
      </c>
      <c r="C26" s="10"/>
      <c r="D26" s="10"/>
      <c r="E26" s="10"/>
      <c r="F26" s="10"/>
      <c r="G26" s="10"/>
      <c r="H26" s="10"/>
      <c r="I26" s="10"/>
      <c r="J26" s="10"/>
      <c r="K26" s="10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71"/>
      <c r="AB26" s="171"/>
      <c r="AC26" s="171"/>
      <c r="AD26" s="171"/>
      <c r="AE26" s="171"/>
      <c r="AF26" s="171"/>
    </row>
    <row r="27" spans="1:32" ht="23.25" customHeight="1">
      <c r="A27" s="12" t="s">
        <v>34</v>
      </c>
      <c r="B27" s="8" t="s">
        <v>2</v>
      </c>
      <c r="C27" s="10">
        <v>400</v>
      </c>
      <c r="D27" s="10">
        <v>150</v>
      </c>
      <c r="E27" s="10">
        <v>225</v>
      </c>
      <c r="F27" s="10"/>
      <c r="G27" s="10"/>
      <c r="H27" s="10"/>
      <c r="I27" s="10"/>
      <c r="J27" s="10"/>
      <c r="K27" s="10">
        <v>200</v>
      </c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/>
      <c r="AC27" s="171"/>
      <c r="AD27" s="171"/>
      <c r="AE27" s="171"/>
      <c r="AF27" s="171"/>
    </row>
    <row r="28" spans="1:32" ht="23.25" customHeight="1">
      <c r="A28" s="12" t="s">
        <v>76</v>
      </c>
      <c r="B28" s="8" t="s">
        <v>2</v>
      </c>
      <c r="C28" s="10"/>
      <c r="D28" s="10"/>
      <c r="E28" s="10"/>
      <c r="F28" s="10"/>
      <c r="G28" s="10"/>
      <c r="H28" s="10"/>
      <c r="I28" s="10"/>
      <c r="J28" s="10">
        <v>50</v>
      </c>
      <c r="K28" s="10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</row>
    <row r="29" spans="1:32" ht="23.25" customHeight="1">
      <c r="A29" s="12" t="s">
        <v>235</v>
      </c>
      <c r="B29" s="8" t="s">
        <v>2</v>
      </c>
      <c r="C29" s="10">
        <v>1100</v>
      </c>
      <c r="D29" s="10">
        <v>700</v>
      </c>
      <c r="E29" s="10">
        <v>575</v>
      </c>
      <c r="F29" s="10">
        <v>625</v>
      </c>
      <c r="G29" s="10">
        <v>1575</v>
      </c>
      <c r="H29" s="10">
        <v>1125</v>
      </c>
      <c r="I29" s="10"/>
      <c r="J29" s="10">
        <v>775</v>
      </c>
      <c r="K29" s="10">
        <v>400</v>
      </c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71"/>
      <c r="AB29" s="171"/>
      <c r="AC29" s="171"/>
      <c r="AD29" s="171"/>
      <c r="AE29" s="171"/>
      <c r="AF29" s="171"/>
    </row>
    <row r="30" spans="1:32" ht="23.25" customHeight="1">
      <c r="A30" s="12" t="s">
        <v>35</v>
      </c>
      <c r="B30" s="8" t="s">
        <v>3</v>
      </c>
      <c r="C30" s="10">
        <v>250</v>
      </c>
      <c r="D30" s="10">
        <v>575</v>
      </c>
      <c r="E30" s="10">
        <v>525</v>
      </c>
      <c r="F30" s="10">
        <v>250</v>
      </c>
      <c r="G30" s="10">
        <v>575</v>
      </c>
      <c r="H30" s="10">
        <v>700</v>
      </c>
      <c r="I30" s="10"/>
      <c r="J30" s="10">
        <v>700</v>
      </c>
      <c r="K30" s="10">
        <v>750</v>
      </c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/>
      <c r="AB30" s="171"/>
      <c r="AC30" s="171"/>
      <c r="AD30" s="171"/>
      <c r="AE30" s="171"/>
      <c r="AF30" s="171"/>
    </row>
    <row r="31" spans="1:32" ht="23.25" customHeight="1">
      <c r="A31" s="12" t="s">
        <v>36</v>
      </c>
      <c r="B31" s="8" t="s">
        <v>2</v>
      </c>
      <c r="C31" s="10"/>
      <c r="D31" s="10"/>
      <c r="E31" s="10"/>
      <c r="F31" s="10"/>
      <c r="G31" s="10"/>
      <c r="H31" s="10"/>
      <c r="I31" s="10"/>
      <c r="J31" s="10"/>
      <c r="K31" s="10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71"/>
      <c r="AB31" s="171"/>
      <c r="AC31" s="171"/>
      <c r="AD31" s="171"/>
      <c r="AE31" s="171"/>
      <c r="AF31" s="171"/>
    </row>
    <row r="32" spans="1:32" ht="23.25" customHeight="1">
      <c r="A32" s="12" t="s">
        <v>240</v>
      </c>
      <c r="B32" s="8" t="s">
        <v>0</v>
      </c>
      <c r="C32" s="10"/>
      <c r="D32" s="10"/>
      <c r="E32" s="10"/>
      <c r="F32" s="10">
        <v>25</v>
      </c>
      <c r="G32" s="10">
        <v>75</v>
      </c>
      <c r="H32" s="10">
        <v>50</v>
      </c>
      <c r="I32" s="10"/>
      <c r="J32" s="10">
        <v>75</v>
      </c>
      <c r="K32" s="10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  <c r="AA32" s="171"/>
      <c r="AB32" s="171"/>
      <c r="AC32" s="171"/>
      <c r="AD32" s="171"/>
      <c r="AE32" s="171"/>
      <c r="AF32" s="171"/>
    </row>
    <row r="33" spans="1:32" ht="23.25" customHeight="1">
      <c r="A33" s="12" t="s">
        <v>215</v>
      </c>
      <c r="B33" s="8" t="s">
        <v>0</v>
      </c>
      <c r="C33" s="10">
        <v>100</v>
      </c>
      <c r="D33" s="10">
        <v>300</v>
      </c>
      <c r="E33" s="10"/>
      <c r="F33" s="10"/>
      <c r="G33" s="10"/>
      <c r="H33" s="10"/>
      <c r="I33" s="10"/>
      <c r="J33" s="10"/>
      <c r="K33" s="10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  <c r="AB33" s="171"/>
      <c r="AC33" s="171"/>
      <c r="AD33" s="171"/>
      <c r="AE33" s="171"/>
      <c r="AF33" s="171"/>
    </row>
    <row r="34" spans="1:32" ht="23.25" customHeight="1">
      <c r="A34" s="12" t="s">
        <v>271</v>
      </c>
      <c r="B34" s="8" t="s">
        <v>185</v>
      </c>
      <c r="C34" s="10"/>
      <c r="D34" s="10"/>
      <c r="E34" s="10"/>
      <c r="F34" s="10"/>
      <c r="G34" s="10"/>
      <c r="H34" s="10">
        <v>25</v>
      </c>
      <c r="I34" s="10"/>
      <c r="J34" s="10"/>
      <c r="K34" s="10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  <c r="AB34" s="171"/>
      <c r="AC34" s="171"/>
      <c r="AD34" s="171"/>
      <c r="AE34" s="171"/>
      <c r="AF34" s="171"/>
    </row>
    <row r="35" spans="1:32" ht="23.25" customHeight="1">
      <c r="A35" s="12" t="s">
        <v>166</v>
      </c>
      <c r="B35" s="8" t="s">
        <v>2</v>
      </c>
      <c r="C35" s="10"/>
      <c r="D35" s="10"/>
      <c r="E35" s="10"/>
      <c r="F35" s="10"/>
      <c r="G35" s="10"/>
      <c r="H35" s="10"/>
      <c r="I35" s="10"/>
      <c r="J35" s="10"/>
      <c r="K35" s="10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  <c r="AC35" s="171"/>
      <c r="AD35" s="171"/>
      <c r="AE35" s="171"/>
      <c r="AF35" s="171"/>
    </row>
    <row r="36" spans="1:32" ht="23.25" customHeight="1">
      <c r="A36" s="12" t="s">
        <v>219</v>
      </c>
      <c r="B36" s="8" t="s">
        <v>0</v>
      </c>
      <c r="C36" s="10"/>
      <c r="D36" s="10"/>
      <c r="E36" s="10"/>
      <c r="F36" s="10"/>
      <c r="G36" s="10"/>
      <c r="H36" s="10"/>
      <c r="I36" s="10"/>
      <c r="J36" s="10"/>
      <c r="K36" s="10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1"/>
      <c r="AB36" s="171"/>
      <c r="AC36" s="171"/>
      <c r="AD36" s="171"/>
      <c r="AE36" s="171"/>
      <c r="AF36" s="171"/>
    </row>
    <row r="37" spans="1:32" s="247" customFormat="1" ht="23.25" customHeight="1">
      <c r="A37" s="245"/>
      <c r="B37" s="246"/>
      <c r="C37" s="246"/>
      <c r="D37" s="246"/>
      <c r="E37" s="246"/>
      <c r="F37" s="246"/>
      <c r="G37" s="246"/>
      <c r="H37" s="246"/>
      <c r="I37" s="246"/>
      <c r="J37" s="246"/>
      <c r="K37" s="246"/>
    </row>
    <row r="38" spans="1:32" ht="23.25" customHeight="1">
      <c r="A38" s="244" t="s">
        <v>10</v>
      </c>
      <c r="B38" s="244"/>
      <c r="C38" s="9">
        <v>46174</v>
      </c>
      <c r="D38" s="9">
        <v>46175</v>
      </c>
      <c r="E38" s="9">
        <v>46176</v>
      </c>
      <c r="F38" s="9">
        <v>46177</v>
      </c>
      <c r="G38" s="9">
        <v>46178</v>
      </c>
      <c r="H38" s="9">
        <v>46179</v>
      </c>
      <c r="I38" s="9">
        <v>46180</v>
      </c>
      <c r="J38" s="9">
        <v>46181</v>
      </c>
      <c r="K38" s="9">
        <v>46182</v>
      </c>
      <c r="L38" s="9">
        <v>46183</v>
      </c>
      <c r="M38" s="9">
        <v>46184</v>
      </c>
      <c r="N38" s="9">
        <v>46185</v>
      </c>
      <c r="O38" s="9">
        <v>46186</v>
      </c>
      <c r="P38" s="9">
        <v>46187</v>
      </c>
      <c r="Q38" s="9">
        <v>46188</v>
      </c>
      <c r="R38" s="9">
        <v>46189</v>
      </c>
      <c r="S38" s="9">
        <v>46190</v>
      </c>
      <c r="T38" s="9">
        <v>46191</v>
      </c>
      <c r="U38" s="9">
        <v>46192</v>
      </c>
      <c r="V38" s="9">
        <v>46193</v>
      </c>
      <c r="W38" s="9">
        <v>46194</v>
      </c>
      <c r="X38" s="9">
        <v>46195</v>
      </c>
      <c r="Y38" s="9">
        <v>46196</v>
      </c>
      <c r="Z38" s="9">
        <v>46197</v>
      </c>
      <c r="AA38" s="9">
        <v>46198</v>
      </c>
      <c r="AB38" s="9">
        <v>46199</v>
      </c>
      <c r="AC38" s="9">
        <v>46200</v>
      </c>
      <c r="AD38" s="9">
        <v>46201</v>
      </c>
      <c r="AE38" s="9">
        <v>46202</v>
      </c>
      <c r="AF38" s="9">
        <v>46203</v>
      </c>
    </row>
    <row r="39" spans="1:32" ht="18.75">
      <c r="A39" s="8" t="s">
        <v>11</v>
      </c>
      <c r="B39" s="8" t="s">
        <v>259</v>
      </c>
      <c r="C39" s="10">
        <v>50</v>
      </c>
      <c r="D39" s="10">
        <v>50</v>
      </c>
      <c r="E39" s="10">
        <v>125</v>
      </c>
      <c r="F39" s="10">
        <v>50</v>
      </c>
      <c r="G39" s="10">
        <v>100</v>
      </c>
      <c r="H39" s="10"/>
      <c r="I39" s="10"/>
      <c r="J39" s="10"/>
      <c r="K39" s="10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  <c r="AA39" s="171"/>
      <c r="AB39" s="171"/>
      <c r="AC39" s="171"/>
      <c r="AD39" s="171"/>
      <c r="AE39" s="171"/>
      <c r="AF39" s="171"/>
    </row>
    <row r="40" spans="1:32" ht="18.75">
      <c r="A40" s="8" t="s">
        <v>213</v>
      </c>
      <c r="B40" s="8" t="s">
        <v>3</v>
      </c>
      <c r="C40" s="10"/>
      <c r="D40" s="10"/>
      <c r="E40" s="10"/>
      <c r="F40" s="10"/>
      <c r="G40" s="10"/>
      <c r="H40" s="10"/>
      <c r="I40" s="10"/>
      <c r="J40" s="10"/>
      <c r="K40" s="10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  <c r="AA40" s="171"/>
      <c r="AB40" s="171"/>
      <c r="AC40" s="171"/>
      <c r="AD40" s="171"/>
      <c r="AE40" s="171"/>
      <c r="AF40" s="171"/>
    </row>
    <row r="41" spans="1:32" ht="18.75">
      <c r="A41" s="8" t="s">
        <v>12</v>
      </c>
      <c r="B41" s="8" t="s">
        <v>2</v>
      </c>
      <c r="C41" s="10"/>
      <c r="D41" s="10"/>
      <c r="E41" s="10">
        <v>75</v>
      </c>
      <c r="F41" s="10">
        <v>25</v>
      </c>
      <c r="G41" s="10"/>
      <c r="H41" s="10">
        <v>150</v>
      </c>
      <c r="I41" s="10"/>
      <c r="J41" s="10">
        <v>25</v>
      </c>
      <c r="K41" s="10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  <c r="Z41" s="171"/>
      <c r="AA41" s="171"/>
      <c r="AB41" s="171"/>
      <c r="AC41" s="171"/>
      <c r="AD41" s="171"/>
      <c r="AE41" s="171"/>
      <c r="AF41" s="171"/>
    </row>
    <row r="42" spans="1:32" ht="18.75">
      <c r="A42" s="8" t="s">
        <v>13</v>
      </c>
      <c r="B42" s="8" t="s">
        <v>279</v>
      </c>
      <c r="C42" s="10"/>
      <c r="D42" s="10"/>
      <c r="E42" s="10"/>
      <c r="F42" s="10"/>
      <c r="G42" s="10"/>
      <c r="H42" s="10"/>
      <c r="I42" s="10"/>
      <c r="J42" s="10"/>
      <c r="K42" s="10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  <c r="X42" s="171"/>
      <c r="Y42" s="171"/>
      <c r="Z42" s="171"/>
      <c r="AA42" s="171"/>
      <c r="AB42" s="171"/>
      <c r="AC42" s="171"/>
      <c r="AD42" s="171"/>
      <c r="AE42" s="171"/>
      <c r="AF42" s="171"/>
    </row>
    <row r="43" spans="1:32" ht="18.75">
      <c r="A43" s="8" t="s">
        <v>77</v>
      </c>
      <c r="B43" s="8" t="s">
        <v>279</v>
      </c>
      <c r="C43" s="10">
        <v>125</v>
      </c>
      <c r="D43" s="10">
        <v>50</v>
      </c>
      <c r="E43" s="10">
        <v>100</v>
      </c>
      <c r="F43" s="10"/>
      <c r="G43" s="10"/>
      <c r="H43" s="10"/>
      <c r="I43" s="10"/>
      <c r="J43" s="10"/>
      <c r="K43" s="10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</row>
    <row r="44" spans="1:32" ht="18.75">
      <c r="A44" s="8" t="s">
        <v>78</v>
      </c>
      <c r="B44" s="8" t="s">
        <v>279</v>
      </c>
      <c r="C44" s="10"/>
      <c r="D44" s="10"/>
      <c r="E44" s="10"/>
      <c r="F44" s="10"/>
      <c r="G44" s="10"/>
      <c r="H44" s="10"/>
      <c r="I44" s="10"/>
      <c r="J44" s="10">
        <v>25</v>
      </c>
      <c r="K44" s="10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1"/>
      <c r="Y44" s="171"/>
      <c r="Z44" s="171"/>
      <c r="AA44" s="171"/>
      <c r="AB44" s="171"/>
      <c r="AC44" s="171"/>
      <c r="AD44" s="171"/>
      <c r="AE44" s="171"/>
      <c r="AF44" s="171"/>
    </row>
    <row r="45" spans="1:32" ht="18.75">
      <c r="A45" s="8" t="s">
        <v>270</v>
      </c>
      <c r="B45" s="8" t="s">
        <v>0</v>
      </c>
      <c r="C45" s="10"/>
      <c r="D45" s="10"/>
      <c r="E45" s="10"/>
      <c r="F45" s="10"/>
      <c r="G45" s="10"/>
      <c r="H45" s="10">
        <v>25</v>
      </c>
      <c r="I45" s="10"/>
      <c r="J45" s="10"/>
      <c r="K45" s="10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  <c r="AA45" s="171"/>
      <c r="AB45" s="171"/>
      <c r="AC45" s="171"/>
      <c r="AD45" s="171"/>
      <c r="AE45" s="171"/>
      <c r="AF45" s="171"/>
    </row>
    <row r="46" spans="1:32" ht="18.75">
      <c r="A46" s="8" t="s">
        <v>15</v>
      </c>
      <c r="B46" s="8" t="s">
        <v>0</v>
      </c>
      <c r="C46" s="10"/>
      <c r="D46" s="10"/>
      <c r="E46" s="10"/>
      <c r="F46" s="10"/>
      <c r="G46" s="10"/>
      <c r="H46" s="10"/>
      <c r="I46" s="10"/>
      <c r="J46" s="10"/>
      <c r="K46" s="10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  <c r="AA46" s="171"/>
      <c r="AB46" s="171"/>
      <c r="AC46" s="171"/>
      <c r="AD46" s="171"/>
      <c r="AE46" s="171"/>
      <c r="AF46" s="171"/>
    </row>
    <row r="47" spans="1:32" ht="18.75">
      <c r="A47" s="8" t="s">
        <v>16</v>
      </c>
      <c r="B47" s="8" t="s">
        <v>0</v>
      </c>
      <c r="C47" s="10"/>
      <c r="D47" s="10"/>
      <c r="E47" s="10"/>
      <c r="F47" s="10"/>
      <c r="G47" s="10"/>
      <c r="H47" s="10"/>
      <c r="I47" s="10"/>
      <c r="J47" s="10"/>
      <c r="K47" s="10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  <c r="AA47" s="171"/>
      <c r="AB47" s="171"/>
      <c r="AC47" s="171"/>
      <c r="AD47" s="171"/>
      <c r="AE47" s="171"/>
      <c r="AF47" s="171"/>
    </row>
    <row r="48" spans="1:32" ht="18.75">
      <c r="A48" s="8" t="s">
        <v>17</v>
      </c>
      <c r="B48" s="8" t="s">
        <v>0</v>
      </c>
      <c r="C48" s="10"/>
      <c r="D48" s="10"/>
      <c r="E48" s="10">
        <v>125</v>
      </c>
      <c r="F48" s="10">
        <v>125</v>
      </c>
      <c r="G48" s="10"/>
      <c r="H48" s="10">
        <v>200</v>
      </c>
      <c r="I48" s="10"/>
      <c r="J48" s="10">
        <v>125</v>
      </c>
      <c r="K48" s="10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  <c r="AA48" s="171"/>
      <c r="AB48" s="171"/>
      <c r="AC48" s="171"/>
      <c r="AD48" s="171"/>
      <c r="AE48" s="171"/>
      <c r="AF48" s="171"/>
    </row>
    <row r="49" spans="1:32" ht="18.75">
      <c r="A49" s="8" t="s">
        <v>79</v>
      </c>
      <c r="B49" s="8" t="s">
        <v>0</v>
      </c>
      <c r="C49" s="10"/>
      <c r="D49" s="10"/>
      <c r="E49" s="10"/>
      <c r="F49" s="10"/>
      <c r="G49" s="10"/>
      <c r="H49" s="10"/>
      <c r="I49" s="10"/>
      <c r="J49" s="10"/>
      <c r="K49" s="10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1"/>
      <c r="AB49" s="171"/>
      <c r="AC49" s="171"/>
      <c r="AD49" s="171"/>
      <c r="AE49" s="171"/>
      <c r="AF49" s="171"/>
    </row>
    <row r="50" spans="1:32" ht="18.75">
      <c r="A50" s="8" t="s">
        <v>80</v>
      </c>
      <c r="B50" s="8" t="s">
        <v>0</v>
      </c>
      <c r="C50" s="10"/>
      <c r="D50" s="10"/>
      <c r="E50" s="10"/>
      <c r="F50" s="10"/>
      <c r="G50" s="10"/>
      <c r="H50" s="10"/>
      <c r="I50" s="10"/>
      <c r="J50" s="10"/>
      <c r="K50" s="10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  <c r="AA50" s="171"/>
      <c r="AB50" s="171"/>
      <c r="AC50" s="171"/>
      <c r="AD50" s="171"/>
      <c r="AE50" s="171"/>
      <c r="AF50" s="171"/>
    </row>
    <row r="51" spans="1:32" ht="18.75">
      <c r="A51" s="8" t="s">
        <v>20</v>
      </c>
      <c r="B51" s="8" t="s">
        <v>0</v>
      </c>
      <c r="C51" s="10"/>
      <c r="D51" s="10"/>
      <c r="E51" s="10"/>
      <c r="F51" s="10"/>
      <c r="G51" s="10"/>
      <c r="H51" s="10"/>
      <c r="I51" s="10"/>
      <c r="J51" s="10"/>
      <c r="K51" s="10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  <c r="AC51" s="171"/>
      <c r="AD51" s="171"/>
      <c r="AE51" s="171"/>
      <c r="AF51" s="171"/>
    </row>
    <row r="52" spans="1:32" ht="18.75">
      <c r="A52" s="8" t="s">
        <v>81</v>
      </c>
      <c r="B52" s="8" t="s">
        <v>0</v>
      </c>
      <c r="C52" s="10"/>
      <c r="D52" s="10"/>
      <c r="E52" s="10"/>
      <c r="F52" s="10"/>
      <c r="G52" s="10"/>
      <c r="H52" s="10"/>
      <c r="I52" s="10"/>
      <c r="J52" s="10"/>
      <c r="K52" s="10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  <c r="AA52" s="171"/>
      <c r="AB52" s="171"/>
      <c r="AC52" s="171"/>
      <c r="AD52" s="171"/>
      <c r="AE52" s="171"/>
      <c r="AF52" s="171"/>
    </row>
    <row r="53" spans="1:32" ht="18.75">
      <c r="A53" s="8" t="s">
        <v>21</v>
      </c>
      <c r="B53" s="8" t="s">
        <v>278</v>
      </c>
      <c r="C53" s="168"/>
      <c r="D53" s="168"/>
      <c r="E53" s="168"/>
      <c r="F53" s="168"/>
      <c r="G53" s="168"/>
      <c r="H53" s="168"/>
      <c r="I53" s="168"/>
      <c r="J53" s="168"/>
      <c r="K53" s="168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  <c r="Z53" s="171"/>
      <c r="AA53" s="171"/>
      <c r="AB53" s="171"/>
      <c r="AC53" s="171"/>
      <c r="AD53" s="171"/>
      <c r="AE53" s="171"/>
      <c r="AF53" s="171"/>
    </row>
    <row r="54" spans="1:32" ht="18.75">
      <c r="A54" s="8" t="s">
        <v>82</v>
      </c>
      <c r="B54" s="8" t="s">
        <v>277</v>
      </c>
      <c r="C54" s="168"/>
      <c r="D54" s="168"/>
      <c r="E54" s="168"/>
      <c r="F54" s="168"/>
      <c r="G54" s="168"/>
      <c r="H54" s="168"/>
      <c r="I54" s="168"/>
      <c r="J54" s="168"/>
      <c r="K54" s="168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  <c r="AA54" s="171"/>
      <c r="AB54" s="171"/>
      <c r="AC54" s="171"/>
      <c r="AD54" s="171"/>
      <c r="AE54" s="171"/>
      <c r="AF54" s="171"/>
    </row>
    <row r="55" spans="1:32" ht="18.75">
      <c r="A55" s="8" t="s">
        <v>23</v>
      </c>
      <c r="B55" s="8" t="s">
        <v>277</v>
      </c>
      <c r="C55" s="168"/>
      <c r="D55" s="168"/>
      <c r="E55" s="168"/>
      <c r="F55" s="168"/>
      <c r="G55" s="168"/>
      <c r="H55" s="168"/>
      <c r="I55" s="168"/>
      <c r="J55" s="168"/>
      <c r="K55" s="168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  <c r="AA55" s="171"/>
      <c r="AB55" s="171"/>
      <c r="AC55" s="171"/>
      <c r="AD55" s="171"/>
      <c r="AE55" s="171"/>
      <c r="AF55" s="171"/>
    </row>
    <row r="56" spans="1:32" ht="18.75">
      <c r="A56" s="8" t="s">
        <v>24</v>
      </c>
      <c r="B56" s="8" t="s">
        <v>277</v>
      </c>
      <c r="C56" s="168"/>
      <c r="D56" s="168"/>
      <c r="E56" s="168"/>
      <c r="F56" s="168"/>
      <c r="G56" s="168"/>
      <c r="H56" s="168"/>
      <c r="I56" s="168"/>
      <c r="J56" s="168"/>
      <c r="K56" s="168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  <c r="AA56" s="171"/>
      <c r="AB56" s="171"/>
      <c r="AC56" s="171"/>
      <c r="AD56" s="171"/>
      <c r="AE56" s="171"/>
      <c r="AF56" s="171"/>
    </row>
    <row r="57" spans="1:32" ht="18.75">
      <c r="A57" s="186" t="s">
        <v>246</v>
      </c>
      <c r="B57" s="8" t="s">
        <v>276</v>
      </c>
      <c r="C57" s="168"/>
      <c r="D57" s="168"/>
      <c r="E57" s="168">
        <v>25</v>
      </c>
      <c r="F57" s="168"/>
      <c r="G57" s="168"/>
      <c r="H57" s="168"/>
      <c r="I57" s="168"/>
      <c r="J57" s="168"/>
      <c r="K57" s="168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  <c r="AC57" s="171"/>
      <c r="AD57" s="171"/>
      <c r="AE57" s="171"/>
      <c r="AF57" s="171"/>
    </row>
    <row r="58" spans="1:32" ht="18.75">
      <c r="A58" s="186" t="s">
        <v>258</v>
      </c>
      <c r="B58" s="8" t="s">
        <v>275</v>
      </c>
      <c r="C58" s="168">
        <v>25</v>
      </c>
      <c r="D58" s="168"/>
      <c r="E58" s="168"/>
      <c r="F58" s="168"/>
      <c r="G58" s="168"/>
      <c r="H58" s="168"/>
      <c r="I58" s="168"/>
      <c r="J58" s="168"/>
      <c r="K58" s="168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</row>
    <row r="59" spans="1:32" ht="18.75">
      <c r="A59" s="187" t="s">
        <v>239</v>
      </c>
      <c r="B59" s="8" t="s">
        <v>274</v>
      </c>
      <c r="C59" s="168"/>
      <c r="D59" s="168"/>
      <c r="E59" s="168"/>
      <c r="F59" s="168"/>
      <c r="G59" s="168"/>
      <c r="H59" s="168"/>
      <c r="I59" s="168"/>
      <c r="J59" s="168"/>
      <c r="K59" s="168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</row>
    <row r="60" spans="1:32" ht="18.75">
      <c r="A60" s="186" t="s">
        <v>285</v>
      </c>
      <c r="B60" s="186" t="s">
        <v>0</v>
      </c>
      <c r="C60" s="168"/>
      <c r="D60" s="168"/>
      <c r="E60" s="168"/>
      <c r="F60" s="168"/>
      <c r="G60" s="168"/>
      <c r="H60" s="168"/>
      <c r="I60" s="168"/>
      <c r="J60" s="168"/>
      <c r="K60" s="168">
        <v>25</v>
      </c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  <c r="AF60" s="171"/>
    </row>
  </sheetData>
  <mergeCells count="4">
    <mergeCell ref="A18:B18"/>
    <mergeCell ref="A38:B38"/>
    <mergeCell ref="A17:XFD17"/>
    <mergeCell ref="A37:XFD37"/>
  </mergeCells>
  <pageMargins left="0" right="0" top="0.59055118110236227" bottom="0" header="0.59055118110236227" footer="0.59055118110236227"/>
  <pageSetup scale="53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6"/>
  <sheetViews>
    <sheetView zoomScale="73" zoomScaleNormal="73" workbookViewId="0">
      <pane xSplit="2" ySplit="3" topLeftCell="Y4" activePane="bottomRight" state="frozen"/>
      <selection pane="topRight" activeCell="C1" sqref="C1"/>
      <selection pane="bottomLeft" activeCell="A4" sqref="A4"/>
      <selection pane="bottomRight" activeCell="AF35" sqref="AF35"/>
    </sheetView>
  </sheetViews>
  <sheetFormatPr defaultRowHeight="15"/>
  <cols>
    <col min="1" max="1" width="44.42578125" bestFit="1" customWidth="1"/>
    <col min="2" max="2" width="14.28515625" customWidth="1"/>
    <col min="3" max="3" width="10.85546875" bestFit="1" customWidth="1"/>
    <col min="4" max="4" width="10.7109375" bestFit="1" customWidth="1"/>
    <col min="5" max="5" width="10.85546875" bestFit="1" customWidth="1"/>
    <col min="6" max="6" width="10.7109375" bestFit="1" customWidth="1"/>
    <col min="7" max="7" width="10.85546875" bestFit="1" customWidth="1"/>
    <col min="8" max="8" width="10.7109375" bestFit="1" customWidth="1"/>
    <col min="9" max="9" width="10.85546875" bestFit="1" customWidth="1"/>
    <col min="10" max="10" width="10.7109375" bestFit="1" customWidth="1"/>
    <col min="11" max="11" width="10.85546875" bestFit="1" customWidth="1"/>
    <col min="12" max="12" width="10.7109375" bestFit="1" customWidth="1"/>
    <col min="13" max="13" width="10.85546875" bestFit="1" customWidth="1"/>
    <col min="14" max="14" width="10.7109375" bestFit="1" customWidth="1"/>
    <col min="15" max="15" width="10.85546875" bestFit="1" customWidth="1"/>
    <col min="16" max="16" width="10.7109375" bestFit="1" customWidth="1"/>
    <col min="17" max="17" width="10.85546875" bestFit="1" customWidth="1"/>
    <col min="18" max="18" width="10.7109375" bestFit="1" customWidth="1"/>
    <col min="19" max="19" width="10.85546875" bestFit="1" customWidth="1"/>
    <col min="20" max="20" width="10.7109375" bestFit="1" customWidth="1"/>
    <col min="21" max="21" width="10.85546875" bestFit="1" customWidth="1"/>
    <col min="22" max="22" width="10.7109375" bestFit="1" customWidth="1"/>
    <col min="23" max="23" width="10.85546875" customWidth="1"/>
    <col min="24" max="24" width="10.7109375" customWidth="1"/>
    <col min="25" max="25" width="10.85546875" customWidth="1"/>
    <col min="26" max="26" width="10.7109375" customWidth="1"/>
    <col min="27" max="27" width="10.85546875" customWidth="1"/>
    <col min="28" max="28" width="10.7109375" customWidth="1"/>
    <col min="29" max="29" width="10.85546875" customWidth="1"/>
    <col min="30" max="30" width="10.7109375" customWidth="1"/>
    <col min="31" max="31" width="10.85546875" customWidth="1"/>
    <col min="32" max="32" width="10.7109375" customWidth="1"/>
    <col min="33" max="33" width="10.85546875" customWidth="1"/>
    <col min="34" max="34" width="10.7109375" customWidth="1"/>
    <col min="35" max="35" width="10.85546875" customWidth="1"/>
    <col min="36" max="36" width="10.7109375" customWidth="1"/>
    <col min="37" max="37" width="10.85546875" customWidth="1"/>
    <col min="38" max="38" width="10.7109375" customWidth="1"/>
    <col min="39" max="39" width="10.85546875" customWidth="1"/>
    <col min="40" max="40" width="10.7109375" customWidth="1"/>
    <col min="41" max="41" width="10.85546875" customWidth="1"/>
    <col min="42" max="42" width="10.7109375" customWidth="1"/>
    <col min="43" max="43" width="10.85546875" customWidth="1"/>
    <col min="44" max="44" width="10.7109375" customWidth="1"/>
    <col min="45" max="45" width="10.85546875" customWidth="1"/>
    <col min="46" max="46" width="10.7109375" customWidth="1"/>
    <col min="47" max="47" width="10.85546875" customWidth="1"/>
    <col min="48" max="48" width="10.7109375" customWidth="1"/>
    <col min="49" max="49" width="10.85546875" customWidth="1"/>
    <col min="50" max="50" width="10.7109375" customWidth="1"/>
    <col min="51" max="51" width="10.85546875" customWidth="1"/>
    <col min="52" max="52" width="10.7109375" customWidth="1"/>
    <col min="53" max="54" width="10.85546875" customWidth="1"/>
    <col min="55" max="55" width="10.7109375" customWidth="1"/>
    <col min="56" max="56" width="10.85546875" customWidth="1"/>
    <col min="57" max="57" width="10.7109375" customWidth="1"/>
    <col min="58" max="58" width="10.85546875" customWidth="1"/>
    <col min="59" max="59" width="10.7109375" customWidth="1"/>
    <col min="60" max="60" width="10.85546875" customWidth="1"/>
    <col min="61" max="61" width="10.7109375" customWidth="1"/>
  </cols>
  <sheetData>
    <row r="1" spans="1:61" ht="23.25" customHeight="1">
      <c r="A1" s="248" t="s">
        <v>61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249"/>
      <c r="S1" s="249"/>
      <c r="T1" s="249"/>
      <c r="U1" s="249"/>
      <c r="V1" s="249"/>
      <c r="W1" s="249"/>
      <c r="X1" s="249"/>
      <c r="Y1" s="249"/>
      <c r="Z1" s="249"/>
      <c r="AA1" s="249"/>
      <c r="AB1" s="249"/>
      <c r="AC1" s="249"/>
      <c r="AD1" s="249"/>
      <c r="AE1" s="249"/>
      <c r="AF1" s="249"/>
      <c r="AG1" s="249"/>
      <c r="AH1" s="249"/>
      <c r="AI1" s="249"/>
      <c r="AJ1" s="249"/>
      <c r="AK1" s="249"/>
      <c r="AL1" s="249"/>
      <c r="AM1" s="249"/>
      <c r="AN1" s="249"/>
      <c r="AO1" s="249"/>
      <c r="AP1" s="249"/>
      <c r="AQ1" s="249"/>
      <c r="AR1" s="249"/>
      <c r="AS1" s="249"/>
      <c r="AT1" s="249"/>
      <c r="AU1" s="249"/>
      <c r="AV1" s="249"/>
      <c r="AW1" s="249"/>
      <c r="AX1" s="249"/>
      <c r="AY1" s="249"/>
      <c r="AZ1" s="249"/>
      <c r="BA1" s="249"/>
      <c r="BB1" s="249"/>
      <c r="BC1" s="249"/>
      <c r="BD1" s="249"/>
      <c r="BE1" s="249"/>
      <c r="BF1" s="249"/>
      <c r="BG1" s="249"/>
      <c r="BH1" s="249"/>
      <c r="BI1" s="250"/>
    </row>
    <row r="2" spans="1:61" ht="23.25" customHeight="1" thickBot="1">
      <c r="A2" s="26"/>
      <c r="B2" s="27"/>
      <c r="C2" s="28" t="s">
        <v>58</v>
      </c>
      <c r="D2" s="28" t="s">
        <v>59</v>
      </c>
      <c r="E2" s="28" t="s">
        <v>58</v>
      </c>
      <c r="F2" s="28" t="s">
        <v>59</v>
      </c>
      <c r="G2" s="28" t="s">
        <v>58</v>
      </c>
      <c r="H2" s="28" t="s">
        <v>59</v>
      </c>
      <c r="I2" s="28" t="s">
        <v>58</v>
      </c>
      <c r="J2" s="28" t="s">
        <v>59</v>
      </c>
      <c r="K2" s="28" t="s">
        <v>58</v>
      </c>
      <c r="L2" s="28" t="s">
        <v>59</v>
      </c>
      <c r="M2" s="28" t="s">
        <v>58</v>
      </c>
      <c r="N2" s="28" t="s">
        <v>59</v>
      </c>
      <c r="O2" s="28" t="s">
        <v>58</v>
      </c>
      <c r="P2" s="28" t="s">
        <v>59</v>
      </c>
      <c r="Q2" s="28" t="s">
        <v>58</v>
      </c>
      <c r="R2" s="29" t="s">
        <v>59</v>
      </c>
      <c r="S2" s="30" t="s">
        <v>58</v>
      </c>
      <c r="T2" s="30" t="s">
        <v>59</v>
      </c>
      <c r="U2" s="30" t="s">
        <v>58</v>
      </c>
      <c r="V2" s="30" t="s">
        <v>59</v>
      </c>
      <c r="W2" s="30" t="s">
        <v>58</v>
      </c>
      <c r="X2" s="30" t="s">
        <v>59</v>
      </c>
      <c r="Y2" s="30" t="s">
        <v>58</v>
      </c>
      <c r="Z2" s="30" t="s">
        <v>59</v>
      </c>
      <c r="AA2" s="30" t="s">
        <v>58</v>
      </c>
      <c r="AB2" s="30" t="s">
        <v>59</v>
      </c>
      <c r="AC2" s="30" t="s">
        <v>58</v>
      </c>
      <c r="AD2" s="30" t="s">
        <v>59</v>
      </c>
      <c r="AE2" s="30" t="s">
        <v>58</v>
      </c>
      <c r="AF2" s="30" t="s">
        <v>59</v>
      </c>
      <c r="AG2" s="30" t="s">
        <v>58</v>
      </c>
      <c r="AH2" s="30" t="s">
        <v>59</v>
      </c>
      <c r="AI2" s="30" t="s">
        <v>58</v>
      </c>
      <c r="AJ2" s="30" t="s">
        <v>59</v>
      </c>
      <c r="AK2" s="30" t="s">
        <v>58</v>
      </c>
      <c r="AL2" s="30" t="s">
        <v>59</v>
      </c>
      <c r="AM2" s="30" t="s">
        <v>58</v>
      </c>
      <c r="AN2" s="30" t="s">
        <v>59</v>
      </c>
      <c r="AO2" s="30" t="s">
        <v>58</v>
      </c>
      <c r="AP2" s="30" t="s">
        <v>59</v>
      </c>
      <c r="AQ2" s="30" t="s">
        <v>58</v>
      </c>
      <c r="AR2" s="30" t="s">
        <v>59</v>
      </c>
      <c r="AS2" s="30" t="s">
        <v>58</v>
      </c>
      <c r="AT2" s="30" t="s">
        <v>59</v>
      </c>
      <c r="AU2" s="30" t="s">
        <v>58</v>
      </c>
      <c r="AV2" s="30" t="s">
        <v>59</v>
      </c>
      <c r="AW2" s="30" t="s">
        <v>58</v>
      </c>
      <c r="AX2" s="30" t="s">
        <v>59</v>
      </c>
      <c r="AY2" s="30" t="s">
        <v>58</v>
      </c>
      <c r="AZ2" s="30" t="s">
        <v>59</v>
      </c>
      <c r="BA2" s="30" t="s">
        <v>58</v>
      </c>
      <c r="BB2" s="31" t="s">
        <v>58</v>
      </c>
      <c r="BC2" s="28" t="s">
        <v>59</v>
      </c>
      <c r="BD2" s="28" t="s">
        <v>58</v>
      </c>
      <c r="BE2" s="28" t="s">
        <v>59</v>
      </c>
      <c r="BF2" s="28" t="s">
        <v>58</v>
      </c>
      <c r="BG2" s="28" t="s">
        <v>59</v>
      </c>
      <c r="BH2" s="28" t="s">
        <v>58</v>
      </c>
      <c r="BI2" s="34" t="s">
        <v>59</v>
      </c>
    </row>
    <row r="3" spans="1:61" ht="23.25" customHeight="1">
      <c r="A3" s="254" t="s">
        <v>9</v>
      </c>
      <c r="B3" s="255"/>
      <c r="C3" s="251">
        <v>45809</v>
      </c>
      <c r="D3" s="251"/>
      <c r="E3" s="251">
        <v>45810</v>
      </c>
      <c r="F3" s="251"/>
      <c r="G3" s="251">
        <v>45811</v>
      </c>
      <c r="H3" s="251"/>
      <c r="I3" s="251">
        <v>45812</v>
      </c>
      <c r="J3" s="251"/>
      <c r="K3" s="251">
        <v>45813</v>
      </c>
      <c r="L3" s="251"/>
      <c r="M3" s="251">
        <v>45814</v>
      </c>
      <c r="N3" s="251"/>
      <c r="O3" s="251">
        <v>45815</v>
      </c>
      <c r="P3" s="251"/>
      <c r="Q3" s="251">
        <v>45816</v>
      </c>
      <c r="R3" s="251"/>
      <c r="S3" s="251">
        <v>45817</v>
      </c>
      <c r="T3" s="251"/>
      <c r="U3" s="251">
        <v>45818</v>
      </c>
      <c r="V3" s="251"/>
      <c r="W3" s="251">
        <v>45819</v>
      </c>
      <c r="X3" s="251"/>
      <c r="Y3" s="251">
        <v>45820</v>
      </c>
      <c r="Z3" s="251"/>
      <c r="AA3" s="251">
        <v>45821</v>
      </c>
      <c r="AB3" s="251"/>
      <c r="AC3" s="251">
        <v>45822</v>
      </c>
      <c r="AD3" s="251"/>
      <c r="AE3" s="251">
        <v>45823</v>
      </c>
      <c r="AF3" s="251"/>
      <c r="AG3" s="251">
        <v>45824</v>
      </c>
      <c r="AH3" s="251"/>
      <c r="AI3" s="251">
        <v>45825</v>
      </c>
      <c r="AJ3" s="251"/>
      <c r="AK3" s="251">
        <v>45826</v>
      </c>
      <c r="AL3" s="251"/>
      <c r="AM3" s="251">
        <v>45827</v>
      </c>
      <c r="AN3" s="251"/>
      <c r="AO3" s="251">
        <v>45828</v>
      </c>
      <c r="AP3" s="251"/>
      <c r="AQ3" s="251">
        <v>45829</v>
      </c>
      <c r="AR3" s="251"/>
      <c r="AS3" s="251">
        <v>45830</v>
      </c>
      <c r="AT3" s="251"/>
      <c r="AU3" s="251">
        <v>45831</v>
      </c>
      <c r="AV3" s="251"/>
      <c r="AW3" s="251">
        <v>45832</v>
      </c>
      <c r="AX3" s="251"/>
      <c r="AY3" s="251">
        <v>45833</v>
      </c>
      <c r="AZ3" s="251"/>
      <c r="BA3" s="32">
        <v>45834</v>
      </c>
      <c r="BB3" s="251">
        <v>45835</v>
      </c>
      <c r="BC3" s="251"/>
      <c r="BD3" s="251">
        <v>45836</v>
      </c>
      <c r="BE3" s="251"/>
      <c r="BF3" s="251">
        <v>45837</v>
      </c>
      <c r="BG3" s="251"/>
      <c r="BH3" s="251">
        <v>45838</v>
      </c>
      <c r="BI3" s="256"/>
    </row>
    <row r="4" spans="1:61" s="21" customFormat="1" ht="23.25" customHeight="1">
      <c r="A4" s="23" t="s">
        <v>39</v>
      </c>
      <c r="B4" s="22" t="s">
        <v>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20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35"/>
    </row>
    <row r="5" spans="1:61" s="21" customFormat="1" ht="23.25" customHeight="1">
      <c r="A5" s="23" t="s">
        <v>40</v>
      </c>
      <c r="B5" s="22" t="s">
        <v>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20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35"/>
    </row>
    <row r="6" spans="1:61" s="21" customFormat="1" ht="23.25" customHeight="1">
      <c r="A6" s="23" t="s">
        <v>41</v>
      </c>
      <c r="B6" s="22" t="s">
        <v>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20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35"/>
    </row>
    <row r="7" spans="1:61" s="21" customFormat="1" ht="23.25" customHeight="1">
      <c r="A7" s="23" t="s">
        <v>42</v>
      </c>
      <c r="B7" s="22" t="s">
        <v>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20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35"/>
    </row>
    <row r="8" spans="1:61" s="21" customFormat="1" ht="23.25" customHeight="1">
      <c r="A8" s="23" t="s">
        <v>43</v>
      </c>
      <c r="B8" s="22" t="s">
        <v>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20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35"/>
    </row>
    <row r="9" spans="1:61" s="21" customFormat="1" ht="23.25" customHeight="1">
      <c r="A9" s="23" t="s">
        <v>44</v>
      </c>
      <c r="B9" s="22" t="s">
        <v>2</v>
      </c>
      <c r="C9" s="8"/>
      <c r="D9" s="8"/>
      <c r="E9" s="8" t="s">
        <v>60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20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35"/>
    </row>
    <row r="10" spans="1:61" s="21" customFormat="1" ht="23.25" customHeight="1">
      <c r="A10" s="23" t="s">
        <v>45</v>
      </c>
      <c r="B10" s="22" t="s">
        <v>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20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35"/>
    </row>
    <row r="11" spans="1:61" s="21" customFormat="1" ht="23.25" customHeight="1">
      <c r="A11" s="23" t="s">
        <v>46</v>
      </c>
      <c r="B11" s="22" t="s">
        <v>2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20"/>
      <c r="S11" s="8"/>
      <c r="T11" s="8"/>
      <c r="U11" s="8"/>
      <c r="V11" s="8"/>
      <c r="W11" s="8"/>
      <c r="X11" s="8"/>
      <c r="Y11" s="8">
        <v>25</v>
      </c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35"/>
    </row>
    <row r="12" spans="1:61" s="21" customFormat="1" ht="23.25" customHeight="1">
      <c r="A12" s="23" t="s">
        <v>47</v>
      </c>
      <c r="B12" s="22" t="s">
        <v>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20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35"/>
    </row>
    <row r="13" spans="1:61" s="21" customFormat="1" ht="23.25" customHeight="1">
      <c r="A13" s="23" t="s">
        <v>48</v>
      </c>
      <c r="B13" s="22" t="s">
        <v>3</v>
      </c>
      <c r="C13" s="8"/>
      <c r="D13" s="8"/>
      <c r="E13" s="8">
        <v>25</v>
      </c>
      <c r="F13" s="8"/>
      <c r="G13" s="8"/>
      <c r="H13" s="8"/>
      <c r="I13" s="8">
        <v>25</v>
      </c>
      <c r="J13" s="8"/>
      <c r="K13" s="8"/>
      <c r="L13" s="8"/>
      <c r="M13" s="8">
        <v>25</v>
      </c>
      <c r="N13" s="8"/>
      <c r="O13" s="8"/>
      <c r="P13" s="8"/>
      <c r="Q13" s="8"/>
      <c r="R13" s="20"/>
      <c r="S13" s="8"/>
      <c r="T13" s="8"/>
      <c r="U13" s="8">
        <v>25</v>
      </c>
      <c r="V13" s="8"/>
      <c r="W13" s="8"/>
      <c r="X13" s="8"/>
      <c r="Y13" s="8"/>
      <c r="Z13" s="8"/>
      <c r="AA13" s="8"/>
      <c r="AB13" s="8"/>
      <c r="AC13" s="8">
        <v>25</v>
      </c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35"/>
    </row>
    <row r="14" spans="1:61" s="21" customFormat="1" ht="23.25" customHeight="1" thickBot="1">
      <c r="A14" s="23" t="s">
        <v>49</v>
      </c>
      <c r="B14" s="22" t="s">
        <v>6</v>
      </c>
      <c r="C14" s="8"/>
      <c r="D14" s="8"/>
      <c r="E14" s="8">
        <v>25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20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35"/>
    </row>
    <row r="15" spans="1:61" s="21" customFormat="1" ht="23.25" customHeight="1">
      <c r="A15" s="252" t="s">
        <v>25</v>
      </c>
      <c r="B15" s="253"/>
      <c r="C15" s="257">
        <v>45809</v>
      </c>
      <c r="D15" s="258"/>
      <c r="E15" s="257">
        <v>45810</v>
      </c>
      <c r="F15" s="258"/>
      <c r="G15" s="257">
        <v>45811</v>
      </c>
      <c r="H15" s="258"/>
      <c r="I15" s="257">
        <v>45812</v>
      </c>
      <c r="J15" s="258"/>
      <c r="K15" s="257">
        <v>45813</v>
      </c>
      <c r="L15" s="258"/>
      <c r="M15" s="257">
        <v>45814</v>
      </c>
      <c r="N15" s="258"/>
      <c r="O15" s="257">
        <v>45815</v>
      </c>
      <c r="P15" s="258"/>
      <c r="Q15" s="257">
        <v>45816</v>
      </c>
      <c r="R15" s="259"/>
      <c r="S15" s="251">
        <v>45817</v>
      </c>
      <c r="T15" s="251"/>
      <c r="U15" s="251">
        <v>45818</v>
      </c>
      <c r="V15" s="251"/>
      <c r="W15" s="251">
        <v>45819</v>
      </c>
      <c r="X15" s="251"/>
      <c r="Y15" s="251">
        <v>45820</v>
      </c>
      <c r="Z15" s="251"/>
      <c r="AA15" s="251">
        <v>45821</v>
      </c>
      <c r="AB15" s="251"/>
      <c r="AC15" s="251">
        <v>45822</v>
      </c>
      <c r="AD15" s="251"/>
      <c r="AE15" s="251">
        <v>45823</v>
      </c>
      <c r="AF15" s="251"/>
      <c r="AG15" s="251">
        <v>45824</v>
      </c>
      <c r="AH15" s="251"/>
      <c r="AI15" s="251">
        <v>45825</v>
      </c>
      <c r="AJ15" s="251"/>
      <c r="AK15" s="251">
        <v>45826</v>
      </c>
      <c r="AL15" s="251"/>
      <c r="AM15" s="251">
        <v>45827</v>
      </c>
      <c r="AN15" s="251"/>
      <c r="AO15" s="251">
        <v>45828</v>
      </c>
      <c r="AP15" s="251"/>
      <c r="AQ15" s="251">
        <v>45829</v>
      </c>
      <c r="AR15" s="251"/>
      <c r="AS15" s="251">
        <v>45830</v>
      </c>
      <c r="AT15" s="251"/>
      <c r="AU15" s="251">
        <v>45831</v>
      </c>
      <c r="AV15" s="251"/>
      <c r="AW15" s="251">
        <v>45832</v>
      </c>
      <c r="AX15" s="251"/>
      <c r="AY15" s="251">
        <v>45833</v>
      </c>
      <c r="AZ15" s="251"/>
      <c r="BA15" s="32">
        <v>45834</v>
      </c>
      <c r="BB15" s="259">
        <v>45835</v>
      </c>
      <c r="BC15" s="258"/>
      <c r="BD15" s="257">
        <v>45836</v>
      </c>
      <c r="BE15" s="258"/>
      <c r="BF15" s="257">
        <v>45837</v>
      </c>
      <c r="BG15" s="258"/>
      <c r="BH15" s="257">
        <v>45838</v>
      </c>
      <c r="BI15" s="260"/>
    </row>
    <row r="16" spans="1:61" ht="23.25" customHeight="1">
      <c r="A16" s="23" t="s">
        <v>32</v>
      </c>
      <c r="B16" s="22" t="s">
        <v>0</v>
      </c>
      <c r="C16" s="8"/>
      <c r="D16" s="8"/>
      <c r="E16" s="8"/>
      <c r="F16" s="8"/>
      <c r="G16" s="8"/>
      <c r="H16" s="8"/>
      <c r="I16" s="8">
        <v>100</v>
      </c>
      <c r="J16" s="8"/>
      <c r="K16" s="8">
        <f>15*25</f>
        <v>375</v>
      </c>
      <c r="L16" s="8">
        <f>16*25</f>
        <v>400</v>
      </c>
      <c r="M16" s="8">
        <f>29*25</f>
        <v>725</v>
      </c>
      <c r="N16" s="8">
        <f>28*25</f>
        <v>700</v>
      </c>
      <c r="O16" s="8">
        <f>27*25</f>
        <v>675</v>
      </c>
      <c r="P16" s="8"/>
      <c r="Q16" s="49"/>
      <c r="R16" s="8"/>
      <c r="S16" s="8">
        <f>20*25</f>
        <v>500</v>
      </c>
      <c r="T16" s="8">
        <f>30*25</f>
        <v>750</v>
      </c>
      <c r="U16" s="8">
        <f>24*25</f>
        <v>600</v>
      </c>
      <c r="V16" s="8">
        <f>28*25</f>
        <v>700</v>
      </c>
      <c r="W16" s="8">
        <v>500</v>
      </c>
      <c r="X16" s="8">
        <v>625</v>
      </c>
      <c r="Y16" s="8">
        <f>19*25</f>
        <v>475</v>
      </c>
      <c r="Z16" s="8">
        <f>13*25</f>
        <v>325</v>
      </c>
      <c r="AA16" s="8">
        <v>375</v>
      </c>
      <c r="AB16" s="8">
        <v>425</v>
      </c>
      <c r="AC16" s="8">
        <v>375</v>
      </c>
      <c r="AD16" s="8">
        <v>375</v>
      </c>
      <c r="AE16" s="8"/>
      <c r="AF16" s="8"/>
      <c r="AG16" s="8">
        <v>550</v>
      </c>
      <c r="AH16" s="8"/>
      <c r="AI16" s="8">
        <v>375</v>
      </c>
      <c r="AJ16" s="49"/>
      <c r="AK16" s="8">
        <f>22*25</f>
        <v>550</v>
      </c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35"/>
    </row>
    <row r="17" spans="1:61" ht="23.25" customHeight="1">
      <c r="A17" s="23" t="s">
        <v>26</v>
      </c>
      <c r="B17" s="22" t="s">
        <v>0</v>
      </c>
      <c r="C17" s="8"/>
      <c r="D17" s="8"/>
      <c r="E17" s="8">
        <f>16*25</f>
        <v>400</v>
      </c>
      <c r="F17" s="8"/>
      <c r="G17" s="8">
        <v>250</v>
      </c>
      <c r="H17" s="8"/>
      <c r="I17" s="8">
        <v>125</v>
      </c>
      <c r="J17" s="8"/>
      <c r="K17" s="8"/>
      <c r="L17" s="8">
        <v>125</v>
      </c>
      <c r="M17" s="8">
        <v>125</v>
      </c>
      <c r="N17" s="8"/>
      <c r="O17" s="8">
        <f>13*25</f>
        <v>325</v>
      </c>
      <c r="P17" s="8"/>
      <c r="Q17" s="49"/>
      <c r="R17" s="8"/>
      <c r="S17" s="8">
        <f>12*25</f>
        <v>300</v>
      </c>
      <c r="T17" s="8"/>
      <c r="U17" s="8">
        <f>16*25</f>
        <v>400</v>
      </c>
      <c r="V17" s="8"/>
      <c r="W17" s="8">
        <v>525</v>
      </c>
      <c r="X17" s="8"/>
      <c r="Y17" s="8">
        <f>26*25</f>
        <v>650</v>
      </c>
      <c r="Z17" s="8"/>
      <c r="AA17" s="8">
        <v>75</v>
      </c>
      <c r="AB17" s="8"/>
      <c r="AC17" s="8">
        <v>150</v>
      </c>
      <c r="AD17" s="8"/>
      <c r="AE17" s="8"/>
      <c r="AF17" s="8"/>
      <c r="AG17" s="8">
        <v>625</v>
      </c>
      <c r="AH17" s="8"/>
      <c r="AI17" s="8">
        <v>275</v>
      </c>
      <c r="AJ17" s="49"/>
      <c r="AK17" s="8">
        <f>25*25</f>
        <v>625</v>
      </c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35"/>
    </row>
    <row r="18" spans="1:61" ht="23.25" customHeight="1">
      <c r="A18" s="23" t="s">
        <v>27</v>
      </c>
      <c r="B18" s="22" t="s">
        <v>0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49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49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35"/>
    </row>
    <row r="19" spans="1:61" ht="23.25" customHeight="1">
      <c r="A19" s="23" t="s">
        <v>28</v>
      </c>
      <c r="B19" s="22" t="s">
        <v>0</v>
      </c>
      <c r="C19" s="8"/>
      <c r="D19" s="8"/>
      <c r="E19" s="8">
        <f>6*25</f>
        <v>150</v>
      </c>
      <c r="F19" s="8">
        <f>17*25</f>
        <v>425</v>
      </c>
      <c r="G19" s="8">
        <v>125</v>
      </c>
      <c r="H19" s="8"/>
      <c r="I19" s="8"/>
      <c r="J19" s="8"/>
      <c r="K19" s="8"/>
      <c r="L19" s="8"/>
      <c r="M19" s="8"/>
      <c r="N19" s="8"/>
      <c r="O19" s="8"/>
      <c r="P19" s="8"/>
      <c r="Q19" s="49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>
        <v>100</v>
      </c>
      <c r="AH19" s="8"/>
      <c r="AI19" s="8">
        <v>275</v>
      </c>
      <c r="AJ19" s="49"/>
      <c r="AK19" s="8">
        <f>16*25</f>
        <v>400</v>
      </c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35"/>
    </row>
    <row r="20" spans="1:61" ht="23.25" customHeight="1">
      <c r="A20" s="23" t="s">
        <v>29</v>
      </c>
      <c r="B20" s="22" t="s">
        <v>2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49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49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35"/>
    </row>
    <row r="21" spans="1:61" ht="23.25" customHeight="1">
      <c r="A21" s="23" t="s">
        <v>30</v>
      </c>
      <c r="B21" s="22" t="s">
        <v>2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49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49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35"/>
    </row>
    <row r="22" spans="1:61" ht="23.25" customHeight="1">
      <c r="A22" s="23" t="s">
        <v>31</v>
      </c>
      <c r="B22" s="22" t="s">
        <v>2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49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49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35"/>
    </row>
    <row r="23" spans="1:61" ht="23.25" customHeight="1">
      <c r="A23" s="23" t="s">
        <v>33</v>
      </c>
      <c r="B23" s="22" t="s">
        <v>2</v>
      </c>
      <c r="C23" s="8"/>
      <c r="D23" s="8"/>
      <c r="E23" s="8"/>
      <c r="F23" s="8">
        <f>16*25</f>
        <v>400</v>
      </c>
      <c r="G23" s="8"/>
      <c r="H23" s="8">
        <f>12*25</f>
        <v>300</v>
      </c>
      <c r="I23" s="8">
        <v>250</v>
      </c>
      <c r="J23" s="8">
        <f>13*25</f>
        <v>325</v>
      </c>
      <c r="K23" s="8">
        <f>6*25</f>
        <v>150</v>
      </c>
      <c r="L23" s="8"/>
      <c r="M23" s="8"/>
      <c r="N23" s="8"/>
      <c r="O23" s="8"/>
      <c r="P23" s="8">
        <v>50</v>
      </c>
      <c r="Q23" s="49"/>
      <c r="R23" s="8"/>
      <c r="S23" s="8">
        <v>25</v>
      </c>
      <c r="T23" s="8">
        <f>7*25</f>
        <v>175</v>
      </c>
      <c r="U23" s="8"/>
      <c r="V23" s="8"/>
      <c r="W23" s="8"/>
      <c r="X23" s="8">
        <v>150</v>
      </c>
      <c r="Y23" s="8">
        <v>75</v>
      </c>
      <c r="Z23" s="8">
        <f>14*25</f>
        <v>350</v>
      </c>
      <c r="AA23" s="8">
        <v>100</v>
      </c>
      <c r="AB23" s="8">
        <v>375</v>
      </c>
      <c r="AC23" s="8"/>
      <c r="AD23" s="8"/>
      <c r="AE23" s="8"/>
      <c r="AF23" s="8"/>
      <c r="AG23" s="8">
        <v>175</v>
      </c>
      <c r="AH23" s="8"/>
      <c r="AI23" s="8">
        <f>14*25</f>
        <v>350</v>
      </c>
      <c r="AJ23" s="49"/>
      <c r="AK23" s="8">
        <v>125</v>
      </c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35"/>
    </row>
    <row r="24" spans="1:61" ht="23.25" customHeight="1">
      <c r="A24" s="23" t="s">
        <v>34</v>
      </c>
      <c r="B24" s="22" t="s">
        <v>2</v>
      </c>
      <c r="C24" s="8"/>
      <c r="D24" s="8"/>
      <c r="E24" s="8"/>
      <c r="F24" s="8"/>
      <c r="G24" s="8"/>
      <c r="H24" s="8"/>
      <c r="I24" s="8"/>
      <c r="J24" s="8"/>
      <c r="K24" s="8">
        <f>11*25</f>
        <v>275</v>
      </c>
      <c r="L24" s="8"/>
      <c r="M24" s="8">
        <f>20*25</f>
        <v>500</v>
      </c>
      <c r="N24" s="8"/>
      <c r="O24" s="8"/>
      <c r="P24" s="8"/>
      <c r="Q24" s="49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>
        <v>300</v>
      </c>
      <c r="AD24" s="8">
        <v>100</v>
      </c>
      <c r="AE24" s="8"/>
      <c r="AF24" s="8"/>
      <c r="AG24" s="8">
        <v>50</v>
      </c>
      <c r="AH24" s="8"/>
      <c r="AI24" s="8"/>
      <c r="AJ24" s="49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35"/>
    </row>
    <row r="25" spans="1:61" ht="23.25" customHeight="1">
      <c r="A25" s="23" t="s">
        <v>74</v>
      </c>
      <c r="B25" s="22" t="s">
        <v>2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49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>
        <v>100</v>
      </c>
      <c r="AH25" s="8"/>
      <c r="AI25" s="8">
        <v>200</v>
      </c>
      <c r="AJ25" s="49"/>
      <c r="AK25" s="8">
        <f>13*25</f>
        <v>325</v>
      </c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35"/>
    </row>
    <row r="26" spans="1:61" ht="23.25" customHeight="1">
      <c r="A26" s="23" t="s">
        <v>35</v>
      </c>
      <c r="B26" s="22" t="s">
        <v>3</v>
      </c>
      <c r="C26" s="8"/>
      <c r="D26" s="8"/>
      <c r="E26" s="8">
        <v>125</v>
      </c>
      <c r="F26" s="8">
        <f>13*25</f>
        <v>325</v>
      </c>
      <c r="G26" s="8">
        <f>7*25</f>
        <v>175</v>
      </c>
      <c r="H26" s="8">
        <f>7*25</f>
        <v>175</v>
      </c>
      <c r="I26" s="8">
        <f>15*25</f>
        <v>375</v>
      </c>
      <c r="J26" s="8"/>
      <c r="K26" s="8">
        <v>250</v>
      </c>
      <c r="L26" s="8"/>
      <c r="M26" s="8">
        <v>250</v>
      </c>
      <c r="N26" s="8">
        <f>12*25</f>
        <v>300</v>
      </c>
      <c r="O26" s="8">
        <f>8*25</f>
        <v>200</v>
      </c>
      <c r="P26" s="8">
        <f>12*25</f>
        <v>300</v>
      </c>
      <c r="Q26" s="49"/>
      <c r="R26" s="8"/>
      <c r="S26" s="8">
        <f>16*25</f>
        <v>400</v>
      </c>
      <c r="T26" s="8">
        <f>14*25</f>
        <v>350</v>
      </c>
      <c r="U26" s="8">
        <f>14*25</f>
        <v>350</v>
      </c>
      <c r="V26" s="8">
        <f>13*25</f>
        <v>325</v>
      </c>
      <c r="W26" s="8">
        <v>200</v>
      </c>
      <c r="X26" s="8">
        <f>14*25</f>
        <v>350</v>
      </c>
      <c r="Y26" s="8">
        <v>200</v>
      </c>
      <c r="Z26" s="8">
        <v>350</v>
      </c>
      <c r="AA26" s="8">
        <v>275</v>
      </c>
      <c r="AB26" s="8">
        <v>300</v>
      </c>
      <c r="AC26" s="8">
        <v>275</v>
      </c>
      <c r="AD26" s="8">
        <v>250</v>
      </c>
      <c r="AE26" s="8"/>
      <c r="AF26" s="8"/>
      <c r="AG26" s="8">
        <v>175</v>
      </c>
      <c r="AH26" s="8"/>
      <c r="AI26" s="8">
        <v>125</v>
      </c>
      <c r="AJ26" s="49"/>
      <c r="AK26" s="8">
        <v>250</v>
      </c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35"/>
    </row>
    <row r="27" spans="1:61" ht="23.25" customHeight="1">
      <c r="A27" s="23" t="s">
        <v>36</v>
      </c>
      <c r="B27" s="22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20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49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35"/>
    </row>
    <row r="28" spans="1:61" ht="23.25" customHeight="1">
      <c r="A28" s="23" t="s">
        <v>4</v>
      </c>
      <c r="B28" s="22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20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49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35"/>
    </row>
    <row r="29" spans="1:61" ht="23.25" customHeight="1" thickBot="1">
      <c r="A29" s="23" t="s">
        <v>38</v>
      </c>
      <c r="B29" s="22" t="s">
        <v>6</v>
      </c>
      <c r="C29" s="8"/>
      <c r="D29" s="8"/>
      <c r="E29" s="8">
        <f>28*25</f>
        <v>700</v>
      </c>
      <c r="F29" s="8"/>
      <c r="G29" s="8">
        <v>25</v>
      </c>
      <c r="H29" s="8">
        <v>100</v>
      </c>
      <c r="I29" s="8"/>
      <c r="J29" s="8"/>
      <c r="K29" s="8">
        <f>17*25</f>
        <v>425</v>
      </c>
      <c r="L29" s="8"/>
      <c r="M29" s="8"/>
      <c r="N29" s="8"/>
      <c r="O29" s="8"/>
      <c r="P29" s="8"/>
      <c r="Q29" s="8"/>
      <c r="R29" s="20"/>
      <c r="S29" s="8"/>
      <c r="T29" s="8"/>
      <c r="U29" s="8"/>
      <c r="V29" s="8"/>
      <c r="W29" s="8"/>
      <c r="X29" s="8"/>
      <c r="Y29" s="8"/>
      <c r="Z29" s="8"/>
      <c r="AA29" s="8"/>
      <c r="AB29" s="8"/>
      <c r="AC29" s="8">
        <v>150</v>
      </c>
      <c r="AD29" s="8"/>
      <c r="AE29" s="8"/>
      <c r="AF29" s="8"/>
      <c r="AG29" s="8"/>
      <c r="AH29" s="8"/>
      <c r="AI29" s="8"/>
      <c r="AJ29" s="49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35"/>
    </row>
    <row r="30" spans="1:61" ht="23.25" customHeight="1">
      <c r="A30" s="252" t="s">
        <v>10</v>
      </c>
      <c r="B30" s="253"/>
      <c r="C30" s="257">
        <v>45809</v>
      </c>
      <c r="D30" s="258"/>
      <c r="E30" s="257">
        <v>45810</v>
      </c>
      <c r="F30" s="258"/>
      <c r="G30" s="257">
        <v>45811</v>
      </c>
      <c r="H30" s="258"/>
      <c r="I30" s="257">
        <v>45812</v>
      </c>
      <c r="J30" s="258"/>
      <c r="K30" s="257">
        <v>45813</v>
      </c>
      <c r="L30" s="258"/>
      <c r="M30" s="257">
        <v>45814</v>
      </c>
      <c r="N30" s="258"/>
      <c r="O30" s="257">
        <v>45815</v>
      </c>
      <c r="P30" s="258"/>
      <c r="Q30" s="257">
        <v>45816</v>
      </c>
      <c r="R30" s="259"/>
      <c r="S30" s="251">
        <v>45817</v>
      </c>
      <c r="T30" s="251"/>
      <c r="U30" s="251">
        <v>45818</v>
      </c>
      <c r="V30" s="251"/>
      <c r="W30" s="251">
        <v>45819</v>
      </c>
      <c r="X30" s="251"/>
      <c r="Y30" s="251">
        <v>45820</v>
      </c>
      <c r="Z30" s="251"/>
      <c r="AA30" s="251">
        <v>45821</v>
      </c>
      <c r="AB30" s="251"/>
      <c r="AC30" s="251">
        <v>45822</v>
      </c>
      <c r="AD30" s="251"/>
      <c r="AE30" s="251">
        <v>45823</v>
      </c>
      <c r="AF30" s="251"/>
      <c r="AG30" s="251">
        <v>45824</v>
      </c>
      <c r="AH30" s="251"/>
      <c r="AI30" s="251">
        <v>45825</v>
      </c>
      <c r="AJ30" s="251"/>
      <c r="AK30" s="251">
        <v>45826</v>
      </c>
      <c r="AL30" s="251"/>
      <c r="AM30" s="251">
        <v>45827</v>
      </c>
      <c r="AN30" s="251"/>
      <c r="AO30" s="251">
        <v>45828</v>
      </c>
      <c r="AP30" s="251"/>
      <c r="AQ30" s="251">
        <v>45829</v>
      </c>
      <c r="AR30" s="251"/>
      <c r="AS30" s="251">
        <v>45830</v>
      </c>
      <c r="AT30" s="251"/>
      <c r="AU30" s="251">
        <v>45831</v>
      </c>
      <c r="AV30" s="251"/>
      <c r="AW30" s="251">
        <v>45832</v>
      </c>
      <c r="AX30" s="251"/>
      <c r="AY30" s="251">
        <v>45833</v>
      </c>
      <c r="AZ30" s="251"/>
      <c r="BA30" s="32">
        <v>45834</v>
      </c>
      <c r="BB30" s="251">
        <v>45835</v>
      </c>
      <c r="BC30" s="251"/>
      <c r="BD30" s="251">
        <v>45836</v>
      </c>
      <c r="BE30" s="251"/>
      <c r="BF30" s="251">
        <v>45837</v>
      </c>
      <c r="BG30" s="251"/>
      <c r="BH30" s="251">
        <v>45838</v>
      </c>
      <c r="BI30" s="256"/>
    </row>
    <row r="31" spans="1:61" ht="23.25" customHeight="1">
      <c r="A31" s="23" t="s">
        <v>11</v>
      </c>
      <c r="B31" s="10"/>
      <c r="C31" s="8"/>
      <c r="D31" s="8"/>
      <c r="E31" s="8"/>
      <c r="F31" s="8"/>
      <c r="G31" s="8"/>
      <c r="H31" s="8"/>
      <c r="I31" s="8">
        <v>36.5</v>
      </c>
      <c r="J31" s="8"/>
      <c r="K31" s="8">
        <v>75</v>
      </c>
      <c r="L31" s="8">
        <v>40</v>
      </c>
      <c r="M31" s="8">
        <v>50</v>
      </c>
      <c r="N31" s="8"/>
      <c r="O31" s="8">
        <v>50</v>
      </c>
      <c r="P31" s="8"/>
      <c r="Q31" s="8"/>
      <c r="R31" s="20"/>
      <c r="S31" s="8">
        <v>50</v>
      </c>
      <c r="T31" s="8"/>
      <c r="U31" s="8">
        <v>50</v>
      </c>
      <c r="V31" s="8">
        <v>20</v>
      </c>
      <c r="W31" s="8">
        <v>75</v>
      </c>
      <c r="X31" s="8"/>
      <c r="Y31" s="8">
        <v>25</v>
      </c>
      <c r="Z31" s="8"/>
      <c r="AA31" s="8">
        <v>25</v>
      </c>
      <c r="AB31" s="8"/>
      <c r="AC31" s="8">
        <v>20</v>
      </c>
      <c r="AD31" s="8"/>
      <c r="AE31" s="8"/>
      <c r="AF31" s="8"/>
      <c r="AG31" s="8"/>
      <c r="AH31" s="8"/>
      <c r="AI31" s="8">
        <v>52</v>
      </c>
      <c r="AJ31" s="8"/>
      <c r="AK31" s="8">
        <v>50</v>
      </c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35"/>
    </row>
    <row r="32" spans="1:61" ht="23.25" customHeight="1">
      <c r="A32" s="23" t="s">
        <v>71</v>
      </c>
      <c r="B32" s="10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20"/>
      <c r="S32" s="8"/>
      <c r="T32" s="8"/>
      <c r="U32" s="8"/>
      <c r="V32" s="8"/>
      <c r="W32" s="8"/>
      <c r="X32" s="8"/>
      <c r="Y32" s="8">
        <v>25</v>
      </c>
      <c r="Z32" s="8"/>
      <c r="AA32" s="8">
        <v>40</v>
      </c>
      <c r="AB32" s="8"/>
      <c r="AC32" s="8">
        <v>17</v>
      </c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35"/>
    </row>
    <row r="33" spans="1:61" ht="23.25" customHeight="1">
      <c r="A33" s="23" t="s">
        <v>12</v>
      </c>
      <c r="B33" s="11"/>
      <c r="C33" s="8"/>
      <c r="D33" s="8"/>
      <c r="E33" s="8">
        <v>12.5</v>
      </c>
      <c r="F33" s="8"/>
      <c r="G33" s="8">
        <v>20</v>
      </c>
      <c r="H33" s="8"/>
      <c r="I33" s="8">
        <v>52.5</v>
      </c>
      <c r="J33" s="8">
        <v>20</v>
      </c>
      <c r="K33" s="8">
        <v>51</v>
      </c>
      <c r="L33" s="8">
        <v>20</v>
      </c>
      <c r="M33" s="8"/>
      <c r="N33" s="8"/>
      <c r="O33" s="8">
        <v>20</v>
      </c>
      <c r="P33" s="8"/>
      <c r="Q33" s="8"/>
      <c r="R33" s="20"/>
      <c r="S33" s="8"/>
      <c r="T33" s="8"/>
      <c r="U33" s="8"/>
      <c r="V33" s="8">
        <v>20</v>
      </c>
      <c r="W33" s="8"/>
      <c r="X33" s="8"/>
      <c r="Y33" s="8">
        <v>75</v>
      </c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35"/>
    </row>
    <row r="34" spans="1:61" ht="23.25" customHeight="1">
      <c r="A34" s="23" t="s">
        <v>13</v>
      </c>
      <c r="B34" s="11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20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35"/>
    </row>
    <row r="35" spans="1:61" ht="23.25" customHeight="1">
      <c r="A35" s="23" t="s">
        <v>14</v>
      </c>
      <c r="B35" s="11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20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35"/>
    </row>
    <row r="36" spans="1:61" ht="23.25" customHeight="1">
      <c r="A36" s="23" t="s">
        <v>15</v>
      </c>
      <c r="B36" s="11"/>
      <c r="C36" s="8"/>
      <c r="D36" s="8"/>
      <c r="E36" s="8"/>
      <c r="F36" s="8"/>
      <c r="G36" s="8"/>
      <c r="H36" s="8"/>
      <c r="I36" s="8"/>
      <c r="J36" s="8"/>
      <c r="K36" s="8">
        <v>74</v>
      </c>
      <c r="L36" s="8"/>
      <c r="M36" s="8"/>
      <c r="N36" s="8"/>
      <c r="O36" s="8"/>
      <c r="P36" s="8"/>
      <c r="Q36" s="8"/>
      <c r="R36" s="20"/>
      <c r="S36" s="8"/>
      <c r="T36" s="8"/>
      <c r="U36" s="8"/>
      <c r="V36" s="8">
        <v>40</v>
      </c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35"/>
    </row>
    <row r="37" spans="1:61" ht="23.25" customHeight="1">
      <c r="A37" s="23" t="s">
        <v>16</v>
      </c>
      <c r="B37" s="11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20"/>
      <c r="S37" s="8">
        <v>20</v>
      </c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35"/>
    </row>
    <row r="38" spans="1:61" ht="23.25" customHeight="1">
      <c r="A38" s="23" t="s">
        <v>17</v>
      </c>
      <c r="B38" s="11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20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>
        <v>50</v>
      </c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35"/>
    </row>
    <row r="39" spans="1:61" ht="23.25" customHeight="1">
      <c r="A39" s="23" t="s">
        <v>18</v>
      </c>
      <c r="B39" s="11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20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35"/>
    </row>
    <row r="40" spans="1:61" ht="23.25" customHeight="1">
      <c r="A40" s="23" t="s">
        <v>19</v>
      </c>
      <c r="B40" s="11"/>
      <c r="C40" s="8"/>
      <c r="D40" s="8"/>
      <c r="E40" s="8"/>
      <c r="F40" s="8"/>
      <c r="G40" s="8"/>
      <c r="H40" s="8"/>
      <c r="I40" s="8">
        <v>50.5</v>
      </c>
      <c r="J40" s="8"/>
      <c r="K40" s="8"/>
      <c r="L40" s="8"/>
      <c r="M40" s="8">
        <v>230</v>
      </c>
      <c r="N40" s="8">
        <v>75</v>
      </c>
      <c r="O40" s="8">
        <v>200</v>
      </c>
      <c r="P40" s="8"/>
      <c r="Q40" s="8"/>
      <c r="R40" s="20"/>
      <c r="S40" s="8">
        <v>125</v>
      </c>
      <c r="T40" s="8">
        <v>25</v>
      </c>
      <c r="U40" s="8">
        <v>125</v>
      </c>
      <c r="V40" s="8"/>
      <c r="W40" s="8">
        <v>100</v>
      </c>
      <c r="X40" s="8"/>
      <c r="Y40" s="8">
        <v>75</v>
      </c>
      <c r="Z40" s="8"/>
      <c r="AA40" s="8"/>
      <c r="AB40" s="8"/>
      <c r="AC40" s="8">
        <v>50</v>
      </c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35"/>
    </row>
    <row r="41" spans="1:61" ht="23.25" customHeight="1">
      <c r="A41" s="23" t="s">
        <v>20</v>
      </c>
      <c r="B41" s="11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20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35"/>
    </row>
    <row r="42" spans="1:61" ht="23.25" customHeight="1">
      <c r="A42" s="23" t="s">
        <v>21</v>
      </c>
      <c r="B42" s="11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20"/>
      <c r="S42" s="8"/>
      <c r="T42" s="8"/>
      <c r="U42" s="8"/>
      <c r="V42" s="8"/>
      <c r="W42" s="8"/>
      <c r="X42" s="8"/>
      <c r="Y42" s="8"/>
      <c r="Z42" s="8"/>
      <c r="AA42" s="8"/>
      <c r="AB42" s="8"/>
      <c r="AC42" s="8">
        <v>25</v>
      </c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35"/>
    </row>
    <row r="43" spans="1:61" ht="23.25" customHeight="1">
      <c r="A43" s="23" t="s">
        <v>22</v>
      </c>
      <c r="B43" s="11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20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>
        <v>50</v>
      </c>
      <c r="AJ43" s="8"/>
      <c r="AK43" s="8">
        <v>100</v>
      </c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35"/>
    </row>
    <row r="44" spans="1:61" ht="23.25" customHeight="1">
      <c r="A44" s="23" t="s">
        <v>23</v>
      </c>
      <c r="B44" s="11"/>
      <c r="C44" s="8"/>
      <c r="D44" s="8"/>
      <c r="E44" s="8"/>
      <c r="F44" s="8"/>
      <c r="G44" s="8"/>
      <c r="H44" s="8"/>
      <c r="I44" s="8"/>
      <c r="J44" s="8"/>
      <c r="K44" s="8"/>
      <c r="L44" s="8"/>
      <c r="M44" s="8">
        <v>25</v>
      </c>
      <c r="N44" s="8"/>
      <c r="O44" s="8">
        <v>25</v>
      </c>
      <c r="P44" s="8"/>
      <c r="Q44" s="8"/>
      <c r="R44" s="20"/>
      <c r="S44" s="8"/>
      <c r="T44" s="8"/>
      <c r="U44" s="8">
        <v>50</v>
      </c>
      <c r="V44" s="8"/>
      <c r="W44" s="4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35"/>
    </row>
    <row r="45" spans="1:61" ht="23.25" customHeight="1" thickBot="1">
      <c r="A45" s="25" t="s">
        <v>24</v>
      </c>
      <c r="B45" s="13"/>
      <c r="C45" s="24"/>
      <c r="D45" s="24"/>
      <c r="E45" s="24"/>
      <c r="F45" s="24"/>
      <c r="G45" s="24"/>
      <c r="H45" s="24"/>
      <c r="I45" s="24"/>
      <c r="J45" s="24"/>
      <c r="K45" s="24">
        <v>77.5</v>
      </c>
      <c r="L45" s="24"/>
      <c r="M45" s="24"/>
      <c r="N45" s="24"/>
      <c r="O45" s="24"/>
      <c r="P45" s="24"/>
      <c r="Q45" s="24"/>
      <c r="R45" s="36"/>
      <c r="S45" s="8"/>
      <c r="T45" s="8"/>
      <c r="U45" s="8"/>
      <c r="V45" s="8"/>
      <c r="W45" s="47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37"/>
    </row>
    <row r="46" spans="1:61">
      <c r="K46" t="s">
        <v>62</v>
      </c>
      <c r="W46" s="46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</row>
  </sheetData>
  <mergeCells count="91">
    <mergeCell ref="AK30:AL30"/>
    <mergeCell ref="O30:P30"/>
    <mergeCell ref="Q30:R30"/>
    <mergeCell ref="S30:T30"/>
    <mergeCell ref="U30:V30"/>
    <mergeCell ref="W30:X30"/>
    <mergeCell ref="AA30:AB30"/>
    <mergeCell ref="AC30:AD30"/>
    <mergeCell ref="AE30:AF30"/>
    <mergeCell ref="AG30:AH30"/>
    <mergeCell ref="AI30:AJ30"/>
    <mergeCell ref="Y30:Z30"/>
    <mergeCell ref="BF30:BG30"/>
    <mergeCell ref="BH30:BI30"/>
    <mergeCell ref="AM30:AN30"/>
    <mergeCell ref="AO30:AP30"/>
    <mergeCell ref="AQ30:AR30"/>
    <mergeCell ref="AS30:AT30"/>
    <mergeCell ref="AU30:AV30"/>
    <mergeCell ref="AW30:AX30"/>
    <mergeCell ref="AY30:AZ30"/>
    <mergeCell ref="BB30:BC30"/>
    <mergeCell ref="BD30:BE30"/>
    <mergeCell ref="C30:D30"/>
    <mergeCell ref="E30:F30"/>
    <mergeCell ref="G30:H30"/>
    <mergeCell ref="I30:J30"/>
    <mergeCell ref="K30:L30"/>
    <mergeCell ref="M15:N15"/>
    <mergeCell ref="M30:N30"/>
    <mergeCell ref="AI15:AJ15"/>
    <mergeCell ref="BH15:BI15"/>
    <mergeCell ref="AM15:AN15"/>
    <mergeCell ref="AO15:AP15"/>
    <mergeCell ref="AQ15:AR15"/>
    <mergeCell ref="AS15:AT15"/>
    <mergeCell ref="AU15:AV15"/>
    <mergeCell ref="AW15:AX15"/>
    <mergeCell ref="AY15:AZ15"/>
    <mergeCell ref="BB15:BC15"/>
    <mergeCell ref="BD15:BE15"/>
    <mergeCell ref="BF15:BG15"/>
    <mergeCell ref="Y15:Z15"/>
    <mergeCell ref="AA15:AB15"/>
    <mergeCell ref="C15:D15"/>
    <mergeCell ref="E15:F15"/>
    <mergeCell ref="G15:H15"/>
    <mergeCell ref="I15:J15"/>
    <mergeCell ref="K15:L15"/>
    <mergeCell ref="BB3:BC3"/>
    <mergeCell ref="BD3:BE3"/>
    <mergeCell ref="AA3:AB3"/>
    <mergeCell ref="AC3:AD3"/>
    <mergeCell ref="AE3:AF3"/>
    <mergeCell ref="AG3:AH3"/>
    <mergeCell ref="AI3:AJ3"/>
    <mergeCell ref="AK3:AL3"/>
    <mergeCell ref="AS3:AT3"/>
    <mergeCell ref="AU3:AV3"/>
    <mergeCell ref="AW3:AX3"/>
    <mergeCell ref="AY3:AZ3"/>
    <mergeCell ref="O3:P3"/>
    <mergeCell ref="Q3:R3"/>
    <mergeCell ref="S3:T3"/>
    <mergeCell ref="U3:V3"/>
    <mergeCell ref="W3:X3"/>
    <mergeCell ref="AK15:AL15"/>
    <mergeCell ref="O15:P15"/>
    <mergeCell ref="Q15:R15"/>
    <mergeCell ref="S15:T15"/>
    <mergeCell ref="U15:V15"/>
    <mergeCell ref="W15:X15"/>
    <mergeCell ref="AE15:AF15"/>
    <mergeCell ref="AG15:AH15"/>
    <mergeCell ref="AC15:AD15"/>
    <mergeCell ref="A1:BI1"/>
    <mergeCell ref="Y3:Z3"/>
    <mergeCell ref="A15:B15"/>
    <mergeCell ref="A30:B30"/>
    <mergeCell ref="C3:D3"/>
    <mergeCell ref="E3:F3"/>
    <mergeCell ref="G3:H3"/>
    <mergeCell ref="I3:J3"/>
    <mergeCell ref="K3:L3"/>
    <mergeCell ref="M3:N3"/>
    <mergeCell ref="A3:B3"/>
    <mergeCell ref="BF3:BG3"/>
    <mergeCell ref="BH3:BI3"/>
    <mergeCell ref="AM3:AN3"/>
    <mergeCell ref="AO3:AP3"/>
    <mergeCell ref="AQ3:AR3"/>
  </mergeCells>
  <pageMargins left="0.7" right="0.7" top="0.75" bottom="0.75" header="0.3" footer="0.3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RM STOCK JUN-25</vt:lpstr>
      <vt:lpstr>MB STOCK JUN-25</vt:lpstr>
      <vt:lpstr>RM STOCK JUL-25</vt:lpstr>
      <vt:lpstr>RM STOCK AUG- 25</vt:lpstr>
      <vt:lpstr>MB STOCK AUG -25</vt:lpstr>
      <vt:lpstr>RM STOCK SEP - 25</vt:lpstr>
      <vt:lpstr>MB STOCK SEP -25</vt:lpstr>
      <vt:lpstr>RM STOCK OCT - 25</vt:lpstr>
      <vt:lpstr>MB STOCK OCT -25</vt:lpstr>
      <vt:lpstr>RM STOCK NOV - 25</vt:lpstr>
      <vt:lpstr>MB STOCK NOV -25</vt:lpstr>
      <vt:lpstr>RM STOCK DEC - 25</vt:lpstr>
      <vt:lpstr>MB STOCK DEC - 25</vt:lpstr>
      <vt:lpstr>RM STOCK JAN - 26</vt:lpstr>
      <vt:lpstr>MB STOCK JAN - 26</vt:lpstr>
      <vt:lpstr>RM STOCK FEB - 26</vt:lpstr>
      <vt:lpstr>MB STOCK FEB - 26</vt:lpstr>
      <vt:lpstr>Sheet1</vt:lpstr>
      <vt:lpstr>RM STOCK 25 FEB - 26 AS PR PHY</vt:lpstr>
      <vt:lpstr>RM STOCK JUNE - 26</vt:lpstr>
      <vt:lpstr>MB STOCK JUNE - 26</vt:lpstr>
      <vt:lpstr>CUTTING STOCK JUNE-2026</vt:lpstr>
      <vt:lpstr>CUTTING R.M JUNE-2026</vt:lpstr>
      <vt:lpstr>RM CON SHEET</vt:lpstr>
      <vt:lpstr>RM CON (A&amp;B) SHIFT JUN-25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PS INDUSTRIES</cp:lastModifiedBy>
  <cp:lastPrinted>2026-06-02T06:59:38Z</cp:lastPrinted>
  <dcterms:created xsi:type="dcterms:W3CDTF">2025-06-01T16:13:39Z</dcterms:created>
  <dcterms:modified xsi:type="dcterms:W3CDTF">2026-06-10T04:51:51Z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7B936687AC774EFEB45621BA99166678_12</vt:lpwstr>
  </property>
  <property fmtid="{D5CDD505-2E9C-101B-9397-08002B2CF9AE}" pid="3" name="KSOProductBuildVer">
    <vt:lpwstr>1033-12.2.0.21179</vt:lpwstr>
  </property>
</Properties>
</file>