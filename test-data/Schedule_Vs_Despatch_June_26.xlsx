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m\Desktop\"/>
    </mc:Choice>
  </mc:AlternateContent>
  <xr:revisionPtr revIDLastSave="0" documentId="13_ncr:1_{4BB255F1-767D-4BD5-84C4-A6C88FF8638B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June 26" sheetId="1" r:id="rId1"/>
  </sheets>
  <definedNames>
    <definedName name="_xlnm._FilterDatabase" localSheetId="0" hidden="1">'June 26'!$H$1:$H$54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0" i="1"/>
  <c r="D9" i="1"/>
  <c r="D6" i="1"/>
  <c r="E6" i="1"/>
  <c r="E7" i="1"/>
  <c r="E8" i="1"/>
  <c r="E9" i="1"/>
  <c r="D7" i="1"/>
  <c r="H20" i="1"/>
  <c r="H21" i="1"/>
  <c r="BX43" i="1"/>
  <c r="BX6" i="1"/>
  <c r="D48" i="1"/>
  <c r="BL25" i="1"/>
  <c r="D11" i="1"/>
  <c r="D38" i="1"/>
  <c r="D8" i="1"/>
  <c r="D18" i="1"/>
  <c r="D19" i="1"/>
  <c r="D17" i="1"/>
  <c r="D16" i="1"/>
  <c r="F25" i="1"/>
  <c r="H25" i="1" s="1"/>
  <c r="F27" i="1"/>
  <c r="AZ30" i="1"/>
  <c r="AZ29" i="1"/>
  <c r="AZ28" i="1"/>
  <c r="AZ27" i="1"/>
  <c r="AZ43" i="1"/>
  <c r="AQ40" i="1"/>
  <c r="AO35" i="1"/>
  <c r="AO36" i="1"/>
  <c r="AO37" i="1"/>
  <c r="F24" i="1"/>
  <c r="H24" i="1" s="1"/>
  <c r="F23" i="1"/>
  <c r="H23" i="1" s="1"/>
  <c r="F21" i="1"/>
  <c r="K26" i="1"/>
  <c r="N26" i="1" s="1"/>
  <c r="K25" i="1"/>
  <c r="N25" i="1" s="1"/>
  <c r="Q25" i="1" s="1"/>
  <c r="T25" i="1" s="1"/>
  <c r="W25" i="1" s="1"/>
  <c r="Z25" i="1" s="1"/>
  <c r="AC25" i="1" s="1"/>
  <c r="AF25" i="1" s="1"/>
  <c r="AI25" i="1" s="1"/>
  <c r="AL25" i="1" s="1"/>
  <c r="AO25" i="1" s="1"/>
  <c r="AR25" i="1" s="1"/>
  <c r="AU25" i="1" s="1"/>
  <c r="AX25" i="1" s="1"/>
  <c r="BA25" i="1" s="1"/>
  <c r="BD25" i="1" s="1"/>
  <c r="BG25" i="1" s="1"/>
  <c r="BJ25" i="1" s="1"/>
  <c r="BM25" i="1" s="1"/>
  <c r="BP25" i="1" s="1"/>
  <c r="BS25" i="1" s="1"/>
  <c r="BV25" i="1" s="1"/>
  <c r="K24" i="1"/>
  <c r="N24" i="1" s="1"/>
  <c r="Q24" i="1" s="1"/>
  <c r="T24" i="1" s="1"/>
  <c r="W24" i="1" s="1"/>
  <c r="Z24" i="1" s="1"/>
  <c r="AC24" i="1" s="1"/>
  <c r="AF24" i="1" s="1"/>
  <c r="AI24" i="1" s="1"/>
  <c r="AL24" i="1" s="1"/>
  <c r="AO24" i="1" s="1"/>
  <c r="AR24" i="1" s="1"/>
  <c r="AU24" i="1" s="1"/>
  <c r="AX24" i="1" s="1"/>
  <c r="BA24" i="1" s="1"/>
  <c r="BD24" i="1" s="1"/>
  <c r="BG24" i="1" s="1"/>
  <c r="BJ24" i="1" s="1"/>
  <c r="BM24" i="1" s="1"/>
  <c r="BP24" i="1" s="1"/>
  <c r="BS24" i="1" s="1"/>
  <c r="BV24" i="1" s="1"/>
  <c r="BY24" i="1" s="1"/>
  <c r="CB24" i="1" s="1"/>
  <c r="CE24" i="1" s="1"/>
  <c r="K23" i="1"/>
  <c r="N23" i="1" s="1"/>
  <c r="Q23" i="1" s="1"/>
  <c r="T23" i="1" s="1"/>
  <c r="W23" i="1" s="1"/>
  <c r="Z23" i="1" s="1"/>
  <c r="AC23" i="1" s="1"/>
  <c r="AF23" i="1" s="1"/>
  <c r="AI23" i="1" s="1"/>
  <c r="AL23" i="1" s="1"/>
  <c r="AO23" i="1" s="1"/>
  <c r="AR23" i="1" s="1"/>
  <c r="AU23" i="1" s="1"/>
  <c r="AX23" i="1" s="1"/>
  <c r="BA23" i="1" s="1"/>
  <c r="BD23" i="1" s="1"/>
  <c r="BG23" i="1" s="1"/>
  <c r="BJ23" i="1" s="1"/>
  <c r="BM23" i="1" s="1"/>
  <c r="BP23" i="1" s="1"/>
  <c r="BS23" i="1" s="1"/>
  <c r="BV23" i="1" s="1"/>
  <c r="BY23" i="1" s="1"/>
  <c r="CB23" i="1" s="1"/>
  <c r="CE23" i="1" s="1"/>
  <c r="K22" i="1"/>
  <c r="N22" i="1" s="1"/>
  <c r="Q22" i="1" s="1"/>
  <c r="T22" i="1" s="1"/>
  <c r="W22" i="1" s="1"/>
  <c r="Z22" i="1" s="1"/>
  <c r="AC22" i="1" s="1"/>
  <c r="AF22" i="1" s="1"/>
  <c r="AI22" i="1" s="1"/>
  <c r="AL22" i="1" s="1"/>
  <c r="AO22" i="1" s="1"/>
  <c r="AR22" i="1" s="1"/>
  <c r="AU22" i="1" s="1"/>
  <c r="AX22" i="1" s="1"/>
  <c r="BA22" i="1" s="1"/>
  <c r="BD22" i="1" s="1"/>
  <c r="BG22" i="1" s="1"/>
  <c r="BJ22" i="1" s="1"/>
  <c r="BM22" i="1" s="1"/>
  <c r="BP22" i="1" s="1"/>
  <c r="BS22" i="1" s="1"/>
  <c r="BV22" i="1" s="1"/>
  <c r="BY22" i="1" s="1"/>
  <c r="CB22" i="1" s="1"/>
  <c r="CE22" i="1" s="1"/>
  <c r="K21" i="1"/>
  <c r="N21" i="1" s="1"/>
  <c r="Q21" i="1" s="1"/>
  <c r="T21" i="1" s="1"/>
  <c r="W21" i="1" s="1"/>
  <c r="Z21" i="1" s="1"/>
  <c r="AC21" i="1" s="1"/>
  <c r="AF21" i="1" s="1"/>
  <c r="AI21" i="1" s="1"/>
  <c r="AL21" i="1" s="1"/>
  <c r="AO21" i="1" s="1"/>
  <c r="AR21" i="1" s="1"/>
  <c r="AU21" i="1" s="1"/>
  <c r="AX21" i="1" s="1"/>
  <c r="BA21" i="1" s="1"/>
  <c r="BD21" i="1" s="1"/>
  <c r="BG21" i="1" s="1"/>
  <c r="BJ21" i="1" s="1"/>
  <c r="BM21" i="1" s="1"/>
  <c r="BP21" i="1" s="1"/>
  <c r="BS21" i="1" s="1"/>
  <c r="BV21" i="1" s="1"/>
  <c r="BY21" i="1" s="1"/>
  <c r="CB21" i="1" s="1"/>
  <c r="CE21" i="1" s="1"/>
  <c r="K14" i="1"/>
  <c r="F11" i="1"/>
  <c r="H11" i="1" s="1"/>
  <c r="AL45" i="1"/>
  <c r="AO45" i="1" s="1"/>
  <c r="AR45" i="1" s="1"/>
  <c r="AU45" i="1" s="1"/>
  <c r="AX45" i="1" s="1"/>
  <c r="BA45" i="1" s="1"/>
  <c r="BD45" i="1" s="1"/>
  <c r="BG45" i="1" s="1"/>
  <c r="BJ45" i="1" s="1"/>
  <c r="BM45" i="1" s="1"/>
  <c r="BP45" i="1" s="1"/>
  <c r="BS45" i="1" s="1"/>
  <c r="BV45" i="1" s="1"/>
  <c r="BY45" i="1" s="1"/>
  <c r="CB45" i="1" s="1"/>
  <c r="CE45" i="1" s="1"/>
  <c r="D43" i="1"/>
  <c r="AE39" i="1"/>
  <c r="D40" i="1"/>
  <c r="K40" i="1"/>
  <c r="N40" i="1" s="1"/>
  <c r="Q40" i="1" s="1"/>
  <c r="T40" i="1" s="1"/>
  <c r="W40" i="1" s="1"/>
  <c r="Z40" i="1" s="1"/>
  <c r="AC40" i="1" s="1"/>
  <c r="AF40" i="1" s="1"/>
  <c r="AI40" i="1" s="1"/>
  <c r="AL40" i="1" s="1"/>
  <c r="AO40" i="1" s="1"/>
  <c r="E10" i="1"/>
  <c r="E12" i="1"/>
  <c r="BY25" i="1" l="1"/>
  <c r="CB25" i="1" s="1"/>
  <c r="CE25" i="1" s="1"/>
  <c r="AR40" i="1"/>
  <c r="AU40" i="1" s="1"/>
  <c r="AX40" i="1" s="1"/>
  <c r="BA40" i="1" s="1"/>
  <c r="BD40" i="1" s="1"/>
  <c r="BG40" i="1" s="1"/>
  <c r="BJ40" i="1" s="1"/>
  <c r="BM40" i="1" s="1"/>
  <c r="BP40" i="1" s="1"/>
  <c r="BS40" i="1" s="1"/>
  <c r="BV40" i="1" s="1"/>
  <c r="BY40" i="1" s="1"/>
  <c r="CB40" i="1" s="1"/>
  <c r="CE40" i="1" s="1"/>
  <c r="E45" i="1"/>
  <c r="F45" i="1"/>
  <c r="H45" i="1" s="1"/>
  <c r="E40" i="1"/>
  <c r="F40" i="1"/>
  <c r="H40" i="1" s="1"/>
  <c r="K44" i="1"/>
  <c r="N44" i="1" s="1"/>
  <c r="F44" i="1"/>
  <c r="H44" i="1" s="1"/>
  <c r="E44" i="1"/>
  <c r="K43" i="1"/>
  <c r="N43" i="1" s="1"/>
  <c r="F43" i="1"/>
  <c r="H43" i="1" s="1"/>
  <c r="E43" i="1"/>
  <c r="K42" i="1"/>
  <c r="N42" i="1" s="1"/>
  <c r="F42" i="1"/>
  <c r="E42" i="1"/>
  <c r="F41" i="1"/>
  <c r="N45" i="1"/>
  <c r="Q45" i="1" s="1"/>
  <c r="T45" i="1" s="1"/>
  <c r="K38" i="1"/>
  <c r="N38" i="1" s="1"/>
  <c r="Q38" i="1" s="1"/>
  <c r="T38" i="1" s="1"/>
  <c r="W38" i="1" s="1"/>
  <c r="Z38" i="1" s="1"/>
  <c r="AC38" i="1" s="1"/>
  <c r="AF38" i="1" s="1"/>
  <c r="AI38" i="1" s="1"/>
  <c r="AL38" i="1" s="1"/>
  <c r="AO38" i="1" s="1"/>
  <c r="AR38" i="1" s="1"/>
  <c r="AU38" i="1" s="1"/>
  <c r="AX38" i="1" s="1"/>
  <c r="BA38" i="1" s="1"/>
  <c r="BD38" i="1" s="1"/>
  <c r="BG38" i="1" s="1"/>
  <c r="BJ38" i="1" s="1"/>
  <c r="BM38" i="1" s="1"/>
  <c r="BP38" i="1" s="1"/>
  <c r="BS38" i="1" s="1"/>
  <c r="BV38" i="1" s="1"/>
  <c r="BY38" i="1" s="1"/>
  <c r="CB38" i="1" s="1"/>
  <c r="CE38" i="1" s="1"/>
  <c r="K39" i="1"/>
  <c r="N39" i="1" s="1"/>
  <c r="Q39" i="1" s="1"/>
  <c r="T39" i="1" s="1"/>
  <c r="W39" i="1" s="1"/>
  <c r="Z39" i="1" s="1"/>
  <c r="AC39" i="1" s="1"/>
  <c r="AF39" i="1" s="1"/>
  <c r="AI39" i="1" s="1"/>
  <c r="AL39" i="1" s="1"/>
  <c r="AO39" i="1" s="1"/>
  <c r="AR39" i="1" s="1"/>
  <c r="AU39" i="1" s="1"/>
  <c r="AX39" i="1" s="1"/>
  <c r="BA39" i="1" s="1"/>
  <c r="BD39" i="1" s="1"/>
  <c r="BG39" i="1" s="1"/>
  <c r="BJ39" i="1" s="1"/>
  <c r="BM39" i="1" s="1"/>
  <c r="BP39" i="1" s="1"/>
  <c r="BS39" i="1" s="1"/>
  <c r="BV39" i="1" s="1"/>
  <c r="BY39" i="1" s="1"/>
  <c r="CB39" i="1" s="1"/>
  <c r="CE39" i="1" s="1"/>
  <c r="K41" i="1"/>
  <c r="N41" i="1" s="1"/>
  <c r="E41" i="1"/>
  <c r="E38" i="1"/>
  <c r="E39" i="1"/>
  <c r="E46" i="1"/>
  <c r="E20" i="1"/>
  <c r="L47" i="1"/>
  <c r="O47" i="1"/>
  <c r="R47" i="1"/>
  <c r="U47" i="1"/>
  <c r="X47" i="1"/>
  <c r="AA47" i="1"/>
  <c r="AD47" i="1"/>
  <c r="AG47" i="1"/>
  <c r="AJ47" i="1"/>
  <c r="AM47" i="1"/>
  <c r="AP47" i="1"/>
  <c r="AS47" i="1"/>
  <c r="AV47" i="1"/>
  <c r="AY47" i="1"/>
  <c r="BB47" i="1"/>
  <c r="BE47" i="1"/>
  <c r="BH47" i="1"/>
  <c r="BK47" i="1"/>
  <c r="BN47" i="1"/>
  <c r="BQ47" i="1"/>
  <c r="BT47" i="1"/>
  <c r="BW47" i="1"/>
  <c r="BZ47" i="1"/>
  <c r="CC47" i="1"/>
  <c r="I47" i="1"/>
  <c r="F38" i="1"/>
  <c r="F39" i="1"/>
  <c r="H39" i="1" s="1"/>
  <c r="E22" i="1"/>
  <c r="F22" i="1"/>
  <c r="H22" i="1" s="1"/>
  <c r="E21" i="1"/>
  <c r="F50" i="1"/>
  <c r="H50" i="1" s="1"/>
  <c r="F52" i="1"/>
  <c r="H52" i="1" s="1"/>
  <c r="F49" i="1"/>
  <c r="F53" i="1"/>
  <c r="H53" i="1" s="1"/>
  <c r="E5" i="1"/>
  <c r="F48" i="1"/>
  <c r="Q43" i="1" l="1"/>
  <c r="T43" i="1" s="1"/>
  <c r="W43" i="1" s="1"/>
  <c r="Z43" i="1" s="1"/>
  <c r="AC43" i="1" s="1"/>
  <c r="AF43" i="1" s="1"/>
  <c r="AI43" i="1" s="1"/>
  <c r="AL43" i="1" s="1"/>
  <c r="AO43" i="1" s="1"/>
  <c r="AR43" i="1" s="1"/>
  <c r="AU43" i="1" s="1"/>
  <c r="AX43" i="1" s="1"/>
  <c r="BA43" i="1" s="1"/>
  <c r="BD43" i="1" s="1"/>
  <c r="BG43" i="1" s="1"/>
  <c r="BJ43" i="1" s="1"/>
  <c r="BM43" i="1" s="1"/>
  <c r="BP43" i="1" s="1"/>
  <c r="BS43" i="1" s="1"/>
  <c r="BV43" i="1" s="1"/>
  <c r="BY43" i="1" s="1"/>
  <c r="CB43" i="1" s="1"/>
  <c r="CE43" i="1" s="1"/>
  <c r="Q41" i="1"/>
  <c r="T41" i="1" s="1"/>
  <c r="W41" i="1" s="1"/>
  <c r="Z41" i="1" s="1"/>
  <c r="AC41" i="1" s="1"/>
  <c r="AF41" i="1" s="1"/>
  <c r="AI41" i="1" s="1"/>
  <c r="AL41" i="1" s="1"/>
  <c r="AO41" i="1" s="1"/>
  <c r="AR41" i="1" s="1"/>
  <c r="AU41" i="1" s="1"/>
  <c r="AX41" i="1" s="1"/>
  <c r="BA41" i="1" s="1"/>
  <c r="BD41" i="1" s="1"/>
  <c r="BG41" i="1" s="1"/>
  <c r="BJ41" i="1" s="1"/>
  <c r="BM41" i="1" s="1"/>
  <c r="BP41" i="1" s="1"/>
  <c r="BS41" i="1" s="1"/>
  <c r="BV41" i="1" s="1"/>
  <c r="BY41" i="1" s="1"/>
  <c r="CB41" i="1" s="1"/>
  <c r="CE41" i="1" s="1"/>
  <c r="Q42" i="1"/>
  <c r="T42" i="1" s="1"/>
  <c r="W42" i="1" s="1"/>
  <c r="Z42" i="1" s="1"/>
  <c r="AC42" i="1" s="1"/>
  <c r="AF42" i="1" s="1"/>
  <c r="AI42" i="1" s="1"/>
  <c r="AL42" i="1" s="1"/>
  <c r="AO42" i="1" s="1"/>
  <c r="AR42" i="1" s="1"/>
  <c r="AU42" i="1" s="1"/>
  <c r="AX42" i="1" s="1"/>
  <c r="BA42" i="1" s="1"/>
  <c r="BD42" i="1" s="1"/>
  <c r="BG42" i="1" s="1"/>
  <c r="BJ42" i="1" s="1"/>
  <c r="BM42" i="1" s="1"/>
  <c r="BP42" i="1" s="1"/>
  <c r="BS42" i="1" s="1"/>
  <c r="BV42" i="1" s="1"/>
  <c r="BY42" i="1" s="1"/>
  <c r="CB42" i="1" s="1"/>
  <c r="CE42" i="1" s="1"/>
  <c r="Q44" i="1"/>
  <c r="T44" i="1" s="1"/>
  <c r="W44" i="1" s="1"/>
  <c r="Z44" i="1" s="1"/>
  <c r="AC44" i="1" s="1"/>
  <c r="AF44" i="1" s="1"/>
  <c r="AI44" i="1" s="1"/>
  <c r="AL44" i="1" s="1"/>
  <c r="AO44" i="1" s="1"/>
  <c r="AR44" i="1" s="1"/>
  <c r="AU44" i="1" s="1"/>
  <c r="AX44" i="1" s="1"/>
  <c r="BA44" i="1" s="1"/>
  <c r="BD44" i="1" s="1"/>
  <c r="BG44" i="1" s="1"/>
  <c r="BJ44" i="1" s="1"/>
  <c r="BM44" i="1" s="1"/>
  <c r="BP44" i="1" s="1"/>
  <c r="BS44" i="1" s="1"/>
  <c r="BV44" i="1" s="1"/>
  <c r="BY44" i="1" s="1"/>
  <c r="CB44" i="1" s="1"/>
  <c r="CE44" i="1" s="1"/>
  <c r="H41" i="1"/>
  <c r="H42" i="1"/>
  <c r="H38" i="1"/>
  <c r="H49" i="1"/>
  <c r="H48" i="1"/>
  <c r="F20" i="1"/>
  <c r="H27" i="1"/>
  <c r="F28" i="1"/>
  <c r="H28" i="1" s="1"/>
  <c r="F29" i="1"/>
  <c r="H29" i="1" s="1"/>
  <c r="F30" i="1"/>
  <c r="H30" i="1" s="1"/>
  <c r="F31" i="1"/>
  <c r="H31" i="1" s="1"/>
  <c r="F32" i="1"/>
  <c r="H32" i="1" s="1"/>
  <c r="F33" i="1"/>
  <c r="H33" i="1" s="1"/>
  <c r="F34" i="1"/>
  <c r="H34" i="1" s="1"/>
  <c r="F46" i="1"/>
  <c r="H46" i="1" s="1"/>
  <c r="F6" i="1"/>
  <c r="H6" i="1" s="1"/>
  <c r="F7" i="1"/>
  <c r="H7" i="1" s="1"/>
  <c r="F8" i="1"/>
  <c r="H8" i="1" s="1"/>
  <c r="H9" i="1"/>
  <c r="H10" i="1"/>
  <c r="F12" i="1"/>
  <c r="H12" i="1" s="1"/>
  <c r="F13" i="1"/>
  <c r="H13" i="1" s="1"/>
  <c r="F14" i="1"/>
  <c r="H14" i="1" s="1"/>
  <c r="F15" i="1"/>
  <c r="H15" i="1" s="1"/>
  <c r="F16" i="1"/>
  <c r="H16" i="1" s="1"/>
  <c r="F18" i="1"/>
  <c r="H18" i="1" s="1"/>
  <c r="F19" i="1"/>
  <c r="H19" i="1" s="1"/>
  <c r="E11" i="1"/>
  <c r="E13" i="1"/>
  <c r="E14" i="1"/>
  <c r="E15" i="1"/>
  <c r="E16" i="1"/>
  <c r="E17" i="1"/>
  <c r="E18" i="1"/>
  <c r="E19" i="1"/>
  <c r="E26" i="1"/>
  <c r="E27" i="1"/>
  <c r="E28" i="1"/>
  <c r="E29" i="1"/>
  <c r="E30" i="1"/>
  <c r="E31" i="1"/>
  <c r="E32" i="1"/>
  <c r="E33" i="1"/>
  <c r="E34" i="1"/>
  <c r="F5" i="1"/>
  <c r="H5" i="1" s="1"/>
  <c r="K6" i="1"/>
  <c r="N6" i="1" s="1"/>
  <c r="Q6" i="1" s="1"/>
  <c r="T6" i="1" s="1"/>
  <c r="W6" i="1" s="1"/>
  <c r="K7" i="1"/>
  <c r="N7" i="1" s="1"/>
  <c r="K8" i="1"/>
  <c r="N8" i="1" s="1"/>
  <c r="K9" i="1"/>
  <c r="N9" i="1" s="1"/>
  <c r="K10" i="1"/>
  <c r="N10" i="1" s="1"/>
  <c r="K11" i="1"/>
  <c r="N11" i="1" s="1"/>
  <c r="K12" i="1"/>
  <c r="N12" i="1" s="1"/>
  <c r="K13" i="1"/>
  <c r="N13" i="1" s="1"/>
  <c r="N14" i="1"/>
  <c r="K15" i="1"/>
  <c r="N15" i="1" s="1"/>
  <c r="K16" i="1"/>
  <c r="N16" i="1" s="1"/>
  <c r="K17" i="1"/>
  <c r="N17" i="1" s="1"/>
  <c r="K18" i="1"/>
  <c r="N18" i="1" s="1"/>
  <c r="K19" i="1"/>
  <c r="N19" i="1" s="1"/>
  <c r="K20" i="1"/>
  <c r="N20" i="1" s="1"/>
  <c r="K27" i="1"/>
  <c r="N27" i="1" s="1"/>
  <c r="K28" i="1"/>
  <c r="N28" i="1" s="1"/>
  <c r="K29" i="1"/>
  <c r="N29" i="1" s="1"/>
  <c r="K30" i="1"/>
  <c r="N30" i="1" s="1"/>
  <c r="K31" i="1"/>
  <c r="N31" i="1" s="1"/>
  <c r="K32" i="1"/>
  <c r="N32" i="1" s="1"/>
  <c r="K33" i="1"/>
  <c r="N33" i="1" s="1"/>
  <c r="K34" i="1"/>
  <c r="N34" i="1" s="1"/>
  <c r="K46" i="1"/>
  <c r="N46" i="1" s="1"/>
  <c r="K48" i="1"/>
  <c r="N48" i="1" s="1"/>
  <c r="K5" i="1"/>
  <c r="N5" i="1" s="1"/>
  <c r="Q5" i="1" s="1"/>
  <c r="T5" i="1" s="1"/>
  <c r="W5" i="1" s="1"/>
  <c r="Z5" i="1" l="1"/>
  <c r="AC5" i="1" s="1"/>
  <c r="AF5" i="1" s="1"/>
  <c r="AI5" i="1" s="1"/>
  <c r="AL5" i="1" s="1"/>
  <c r="AO5" i="1" s="1"/>
  <c r="AR5" i="1" s="1"/>
  <c r="AU5" i="1" s="1"/>
  <c r="AX5" i="1" s="1"/>
  <c r="BA5" i="1" s="1"/>
  <c r="BD5" i="1" s="1"/>
  <c r="BG5" i="1" s="1"/>
  <c r="BJ5" i="1" s="1"/>
  <c r="BM5" i="1" s="1"/>
  <c r="BP5" i="1" s="1"/>
  <c r="BS5" i="1" s="1"/>
  <c r="BV5" i="1" s="1"/>
  <c r="BY5" i="1" s="1"/>
  <c r="CB5" i="1" s="1"/>
  <c r="CE5" i="1" s="1"/>
  <c r="Z6" i="1"/>
  <c r="AC6" i="1" s="1"/>
  <c r="AF6" i="1" s="1"/>
  <c r="AI6" i="1" s="1"/>
  <c r="AL6" i="1" s="1"/>
  <c r="AO6" i="1" s="1"/>
  <c r="AR6" i="1" s="1"/>
  <c r="Q32" i="1"/>
  <c r="T32" i="1" s="1"/>
  <c r="W32" i="1" s="1"/>
  <c r="Z32" i="1" s="1"/>
  <c r="AC32" i="1" s="1"/>
  <c r="AF32" i="1" s="1"/>
  <c r="AI32" i="1" s="1"/>
  <c r="AL32" i="1" s="1"/>
  <c r="AO32" i="1" s="1"/>
  <c r="AR32" i="1" s="1"/>
  <c r="AU32" i="1" s="1"/>
  <c r="AX32" i="1" s="1"/>
  <c r="BA32" i="1" s="1"/>
  <c r="BD32" i="1" s="1"/>
  <c r="BG32" i="1" s="1"/>
  <c r="BJ32" i="1" s="1"/>
  <c r="BM32" i="1" s="1"/>
  <c r="BP32" i="1" s="1"/>
  <c r="BS32" i="1" s="1"/>
  <c r="BV32" i="1" s="1"/>
  <c r="BY32" i="1" s="1"/>
  <c r="CB32" i="1" s="1"/>
  <c r="CE32" i="1" s="1"/>
  <c r="Q28" i="1"/>
  <c r="T28" i="1" s="1"/>
  <c r="W28" i="1" s="1"/>
  <c r="Z28" i="1" s="1"/>
  <c r="AC28" i="1" s="1"/>
  <c r="AF28" i="1" s="1"/>
  <c r="AI28" i="1" s="1"/>
  <c r="AL28" i="1" s="1"/>
  <c r="AO28" i="1" s="1"/>
  <c r="AR28" i="1" s="1"/>
  <c r="AU28" i="1" s="1"/>
  <c r="AX28" i="1" s="1"/>
  <c r="BA28" i="1" s="1"/>
  <c r="BD28" i="1" s="1"/>
  <c r="BG28" i="1" s="1"/>
  <c r="BJ28" i="1" s="1"/>
  <c r="BM28" i="1" s="1"/>
  <c r="BP28" i="1" s="1"/>
  <c r="BS28" i="1" s="1"/>
  <c r="BV28" i="1" s="1"/>
  <c r="BY28" i="1" s="1"/>
  <c r="CB28" i="1" s="1"/>
  <c r="CE28" i="1" s="1"/>
  <c r="Q46" i="1"/>
  <c r="T46" i="1" s="1"/>
  <c r="W46" i="1" s="1"/>
  <c r="Z46" i="1" s="1"/>
  <c r="AC46" i="1" s="1"/>
  <c r="AF46" i="1" s="1"/>
  <c r="AI46" i="1" s="1"/>
  <c r="Q31" i="1"/>
  <c r="T31" i="1" s="1"/>
  <c r="W31" i="1" s="1"/>
  <c r="Z31" i="1" s="1"/>
  <c r="AC31" i="1" s="1"/>
  <c r="AF31" i="1" s="1"/>
  <c r="AI31" i="1" s="1"/>
  <c r="AL31" i="1" s="1"/>
  <c r="AO31" i="1" s="1"/>
  <c r="AR31" i="1" s="1"/>
  <c r="AU31" i="1" s="1"/>
  <c r="AX31" i="1" s="1"/>
  <c r="BA31" i="1" s="1"/>
  <c r="BD31" i="1" s="1"/>
  <c r="BG31" i="1" s="1"/>
  <c r="BJ31" i="1" s="1"/>
  <c r="BM31" i="1" s="1"/>
  <c r="BP31" i="1" s="1"/>
  <c r="BS31" i="1" s="1"/>
  <c r="BV31" i="1" s="1"/>
  <c r="BY31" i="1" s="1"/>
  <c r="CB31" i="1" s="1"/>
  <c r="CE31" i="1" s="1"/>
  <c r="Q27" i="1"/>
  <c r="T27" i="1" s="1"/>
  <c r="W27" i="1" s="1"/>
  <c r="Z27" i="1" s="1"/>
  <c r="AC27" i="1" s="1"/>
  <c r="AF27" i="1" s="1"/>
  <c r="AI27" i="1" s="1"/>
  <c r="AL27" i="1" s="1"/>
  <c r="AO27" i="1" s="1"/>
  <c r="AR27" i="1" s="1"/>
  <c r="AU27" i="1" s="1"/>
  <c r="AX27" i="1" s="1"/>
  <c r="BA27" i="1" s="1"/>
  <c r="BD27" i="1" s="1"/>
  <c r="BG27" i="1" s="1"/>
  <c r="BJ27" i="1" s="1"/>
  <c r="BM27" i="1" s="1"/>
  <c r="BP27" i="1" s="1"/>
  <c r="BS27" i="1" s="1"/>
  <c r="BV27" i="1" s="1"/>
  <c r="BY27" i="1" s="1"/>
  <c r="CB27" i="1" s="1"/>
  <c r="CE27" i="1" s="1"/>
  <c r="Q34" i="1"/>
  <c r="T34" i="1" s="1"/>
  <c r="W34" i="1" s="1"/>
  <c r="Z34" i="1" s="1"/>
  <c r="AC34" i="1" s="1"/>
  <c r="AF34" i="1" s="1"/>
  <c r="Q30" i="1"/>
  <c r="T30" i="1" s="1"/>
  <c r="W30" i="1" s="1"/>
  <c r="Z30" i="1" s="1"/>
  <c r="AC30" i="1" s="1"/>
  <c r="AF30" i="1" s="1"/>
  <c r="AI30" i="1" s="1"/>
  <c r="AL30" i="1" s="1"/>
  <c r="AO30" i="1" s="1"/>
  <c r="AR30" i="1" s="1"/>
  <c r="AU30" i="1" s="1"/>
  <c r="AX30" i="1" s="1"/>
  <c r="BA30" i="1" s="1"/>
  <c r="BD30" i="1" s="1"/>
  <c r="BG30" i="1" s="1"/>
  <c r="BJ30" i="1" s="1"/>
  <c r="BM30" i="1" s="1"/>
  <c r="BP30" i="1" s="1"/>
  <c r="BS30" i="1" s="1"/>
  <c r="BV30" i="1" s="1"/>
  <c r="BY30" i="1" s="1"/>
  <c r="CB30" i="1" s="1"/>
  <c r="CE30" i="1" s="1"/>
  <c r="Q26" i="1"/>
  <c r="T26" i="1" s="1"/>
  <c r="W26" i="1" s="1"/>
  <c r="Q33" i="1"/>
  <c r="T33" i="1" s="1"/>
  <c r="W33" i="1" s="1"/>
  <c r="Z33" i="1" s="1"/>
  <c r="AC33" i="1" s="1"/>
  <c r="AF33" i="1" s="1"/>
  <c r="AI33" i="1" s="1"/>
  <c r="AL33" i="1" s="1"/>
  <c r="AO33" i="1" s="1"/>
  <c r="AR33" i="1" s="1"/>
  <c r="AU33" i="1" s="1"/>
  <c r="AX33" i="1" s="1"/>
  <c r="BA33" i="1" s="1"/>
  <c r="BD33" i="1" s="1"/>
  <c r="BG33" i="1" s="1"/>
  <c r="BJ33" i="1" s="1"/>
  <c r="BM33" i="1" s="1"/>
  <c r="BP33" i="1" s="1"/>
  <c r="BS33" i="1" s="1"/>
  <c r="BV33" i="1" s="1"/>
  <c r="BY33" i="1" s="1"/>
  <c r="CB33" i="1" s="1"/>
  <c r="CE33" i="1" s="1"/>
  <c r="Q29" i="1"/>
  <c r="T29" i="1" s="1"/>
  <c r="W29" i="1" s="1"/>
  <c r="Z29" i="1" s="1"/>
  <c r="AC29" i="1" s="1"/>
  <c r="AF29" i="1" s="1"/>
  <c r="AI29" i="1" s="1"/>
  <c r="AL29" i="1" s="1"/>
  <c r="AO29" i="1" s="1"/>
  <c r="AR29" i="1" s="1"/>
  <c r="AU29" i="1" s="1"/>
  <c r="AX29" i="1" s="1"/>
  <c r="BA29" i="1" s="1"/>
  <c r="BD29" i="1" s="1"/>
  <c r="BG29" i="1" s="1"/>
  <c r="BJ29" i="1" s="1"/>
  <c r="BM29" i="1" s="1"/>
  <c r="BP29" i="1" s="1"/>
  <c r="BS29" i="1" s="1"/>
  <c r="BV29" i="1" s="1"/>
  <c r="BY29" i="1" s="1"/>
  <c r="CB29" i="1" s="1"/>
  <c r="CE29" i="1" s="1"/>
  <c r="Q13" i="1"/>
  <c r="T13" i="1" s="1"/>
  <c r="W13" i="1" s="1"/>
  <c r="Q20" i="1"/>
  <c r="T20" i="1" s="1"/>
  <c r="W20" i="1" s="1"/>
  <c r="Q16" i="1"/>
  <c r="T16" i="1" s="1"/>
  <c r="W16" i="1" s="1"/>
  <c r="Q12" i="1"/>
  <c r="T12" i="1" s="1"/>
  <c r="W12" i="1" s="1"/>
  <c r="Q8" i="1"/>
  <c r="T8" i="1" s="1"/>
  <c r="W8" i="1" s="1"/>
  <c r="Q19" i="1"/>
  <c r="T19" i="1" s="1"/>
  <c r="W19" i="1" s="1"/>
  <c r="Q15" i="1"/>
  <c r="T15" i="1" s="1"/>
  <c r="W15" i="1" s="1"/>
  <c r="Q11" i="1"/>
  <c r="T11" i="1" s="1"/>
  <c r="W11" i="1" s="1"/>
  <c r="Q7" i="1"/>
  <c r="T7" i="1" s="1"/>
  <c r="W7" i="1" s="1"/>
  <c r="Z7" i="1" s="1"/>
  <c r="AC7" i="1" s="1"/>
  <c r="AF7" i="1" s="1"/>
  <c r="AI7" i="1" s="1"/>
  <c r="AL7" i="1" s="1"/>
  <c r="AO7" i="1" s="1"/>
  <c r="AR7" i="1" s="1"/>
  <c r="Q17" i="1"/>
  <c r="T17" i="1" s="1"/>
  <c r="W17" i="1" s="1"/>
  <c r="Q9" i="1"/>
  <c r="T9" i="1" s="1"/>
  <c r="W9" i="1" s="1"/>
  <c r="Q18" i="1"/>
  <c r="T18" i="1" s="1"/>
  <c r="W18" i="1" s="1"/>
  <c r="Q14" i="1"/>
  <c r="T14" i="1" s="1"/>
  <c r="W14" i="1" s="1"/>
  <c r="Q10" i="1"/>
  <c r="T10" i="1" s="1"/>
  <c r="W10" i="1" s="1"/>
  <c r="Q48" i="1"/>
  <c r="T48" i="1" s="1"/>
  <c r="W48" i="1" s="1"/>
  <c r="F17" i="1"/>
  <c r="H17" i="1" s="1"/>
  <c r="AU7" i="1" l="1"/>
  <c r="AX7" i="1" s="1"/>
  <c r="BA7" i="1" s="1"/>
  <c r="BD7" i="1" s="1"/>
  <c r="BG7" i="1" s="1"/>
  <c r="BJ7" i="1" s="1"/>
  <c r="BM7" i="1" s="1"/>
  <c r="BP7" i="1" s="1"/>
  <c r="BS7" i="1" s="1"/>
  <c r="BV7" i="1" s="1"/>
  <c r="BY7" i="1" s="1"/>
  <c r="CB7" i="1" s="1"/>
  <c r="CE7" i="1" s="1"/>
  <c r="AU6" i="1"/>
  <c r="AX6" i="1" s="1"/>
  <c r="BA6" i="1" s="1"/>
  <c r="BD6" i="1" s="1"/>
  <c r="BG6" i="1" s="1"/>
  <c r="BJ6" i="1" s="1"/>
  <c r="BM6" i="1" s="1"/>
  <c r="BP6" i="1" s="1"/>
  <c r="BS6" i="1" s="1"/>
  <c r="BV6" i="1" s="1"/>
  <c r="BY6" i="1" s="1"/>
  <c r="CB6" i="1" s="1"/>
  <c r="CE6" i="1" s="1"/>
  <c r="AL46" i="1"/>
  <c r="AI34" i="1"/>
  <c r="AL34" i="1" s="1"/>
  <c r="AO34" i="1" s="1"/>
  <c r="AR34" i="1" s="1"/>
  <c r="AU34" i="1" s="1"/>
  <c r="AX34" i="1" s="1"/>
  <c r="BA34" i="1" s="1"/>
  <c r="BD34" i="1" s="1"/>
  <c r="BG34" i="1" s="1"/>
  <c r="BJ34" i="1" s="1"/>
  <c r="BM34" i="1" s="1"/>
  <c r="BP34" i="1" s="1"/>
  <c r="BS34" i="1" s="1"/>
  <c r="BV34" i="1" s="1"/>
  <c r="BY34" i="1" s="1"/>
  <c r="CB34" i="1" s="1"/>
  <c r="CE34" i="1" s="1"/>
  <c r="Z26" i="1"/>
  <c r="AC26" i="1" s="1"/>
  <c r="AF26" i="1" s="1"/>
  <c r="AI26" i="1" s="1"/>
  <c r="AL26" i="1" s="1"/>
  <c r="AO26" i="1" s="1"/>
  <c r="AR26" i="1" s="1"/>
  <c r="AU26" i="1" s="1"/>
  <c r="AX26" i="1" s="1"/>
  <c r="BA26" i="1" s="1"/>
  <c r="BD26" i="1" s="1"/>
  <c r="BG26" i="1" s="1"/>
  <c r="BJ26" i="1" s="1"/>
  <c r="BM26" i="1" s="1"/>
  <c r="BP26" i="1" s="1"/>
  <c r="BS26" i="1" s="1"/>
  <c r="BV26" i="1" s="1"/>
  <c r="BY26" i="1" s="1"/>
  <c r="CB26" i="1" s="1"/>
  <c r="CE26" i="1" s="1"/>
  <c r="Z18" i="1"/>
  <c r="AC18" i="1" s="1"/>
  <c r="AF18" i="1" s="1"/>
  <c r="AI18" i="1" s="1"/>
  <c r="AL18" i="1" s="1"/>
  <c r="AO18" i="1" s="1"/>
  <c r="AR18" i="1" s="1"/>
  <c r="AU18" i="1" s="1"/>
  <c r="AX18" i="1" s="1"/>
  <c r="BA18" i="1" s="1"/>
  <c r="BD18" i="1" s="1"/>
  <c r="BG18" i="1" s="1"/>
  <c r="BJ18" i="1" s="1"/>
  <c r="BM18" i="1" s="1"/>
  <c r="BP18" i="1" s="1"/>
  <c r="BS18" i="1" s="1"/>
  <c r="BV18" i="1" s="1"/>
  <c r="BY18" i="1" s="1"/>
  <c r="CB18" i="1" s="1"/>
  <c r="CE18" i="1" s="1"/>
  <c r="Z12" i="1"/>
  <c r="AC12" i="1" s="1"/>
  <c r="AF12" i="1" s="1"/>
  <c r="AI12" i="1" s="1"/>
  <c r="AL12" i="1" s="1"/>
  <c r="AO12" i="1" s="1"/>
  <c r="AR12" i="1" s="1"/>
  <c r="AU12" i="1" s="1"/>
  <c r="AX12" i="1" s="1"/>
  <c r="BA12" i="1" s="1"/>
  <c r="BD12" i="1" s="1"/>
  <c r="BG12" i="1" s="1"/>
  <c r="BJ12" i="1" s="1"/>
  <c r="BM12" i="1" s="1"/>
  <c r="BP12" i="1" s="1"/>
  <c r="BS12" i="1" s="1"/>
  <c r="BV12" i="1" s="1"/>
  <c r="BY12" i="1" s="1"/>
  <c r="CB12" i="1" s="1"/>
  <c r="CE12" i="1" s="1"/>
  <c r="Z9" i="1"/>
  <c r="AC9" i="1" s="1"/>
  <c r="AF9" i="1" s="1"/>
  <c r="AI9" i="1" s="1"/>
  <c r="AL9" i="1" s="1"/>
  <c r="AO9" i="1" s="1"/>
  <c r="AR9" i="1" s="1"/>
  <c r="Z15" i="1"/>
  <c r="AC15" i="1" s="1"/>
  <c r="AF15" i="1" s="1"/>
  <c r="AI15" i="1" s="1"/>
  <c r="AL15" i="1" s="1"/>
  <c r="AO15" i="1" s="1"/>
  <c r="AR15" i="1" s="1"/>
  <c r="AU15" i="1" s="1"/>
  <c r="AX15" i="1" s="1"/>
  <c r="BA15" i="1" s="1"/>
  <c r="BD15" i="1" s="1"/>
  <c r="BG15" i="1" s="1"/>
  <c r="BJ15" i="1" s="1"/>
  <c r="BM15" i="1" s="1"/>
  <c r="BP15" i="1" s="1"/>
  <c r="BS15" i="1" s="1"/>
  <c r="BV15" i="1" s="1"/>
  <c r="BY15" i="1" s="1"/>
  <c r="CB15" i="1" s="1"/>
  <c r="CE15" i="1" s="1"/>
  <c r="Z10" i="1"/>
  <c r="AC10" i="1" s="1"/>
  <c r="AF10" i="1" s="1"/>
  <c r="AI10" i="1" s="1"/>
  <c r="AL10" i="1" s="1"/>
  <c r="AO10" i="1" s="1"/>
  <c r="AR10" i="1" s="1"/>
  <c r="AU10" i="1" s="1"/>
  <c r="AX10" i="1" s="1"/>
  <c r="BA10" i="1" s="1"/>
  <c r="BD10" i="1" s="1"/>
  <c r="BG10" i="1" s="1"/>
  <c r="BJ10" i="1" s="1"/>
  <c r="BM10" i="1" s="1"/>
  <c r="BP10" i="1" s="1"/>
  <c r="BS10" i="1" s="1"/>
  <c r="BV10" i="1" s="1"/>
  <c r="BY10" i="1" s="1"/>
  <c r="CB10" i="1" s="1"/>
  <c r="CE10" i="1" s="1"/>
  <c r="Z20" i="1"/>
  <c r="AC20" i="1" s="1"/>
  <c r="AF20" i="1" s="1"/>
  <c r="AI20" i="1" s="1"/>
  <c r="AL20" i="1" s="1"/>
  <c r="AO20" i="1" s="1"/>
  <c r="AR20" i="1" s="1"/>
  <c r="AU20" i="1" s="1"/>
  <c r="AX20" i="1" s="1"/>
  <c r="BA20" i="1" s="1"/>
  <c r="BD20" i="1" s="1"/>
  <c r="BG20" i="1" s="1"/>
  <c r="BJ20" i="1" s="1"/>
  <c r="BM20" i="1" s="1"/>
  <c r="BP20" i="1" s="1"/>
  <c r="BS20" i="1" s="1"/>
  <c r="BV20" i="1" s="1"/>
  <c r="BY20" i="1" s="1"/>
  <c r="CB20" i="1" s="1"/>
  <c r="CE20" i="1" s="1"/>
  <c r="Z14" i="1"/>
  <c r="AC14" i="1" s="1"/>
  <c r="AF14" i="1" s="1"/>
  <c r="AI14" i="1" s="1"/>
  <c r="AL14" i="1" s="1"/>
  <c r="AO14" i="1" s="1"/>
  <c r="AR14" i="1" s="1"/>
  <c r="AU14" i="1" s="1"/>
  <c r="AX14" i="1" s="1"/>
  <c r="BA14" i="1" s="1"/>
  <c r="BD14" i="1" s="1"/>
  <c r="BG14" i="1" s="1"/>
  <c r="BJ14" i="1" s="1"/>
  <c r="BM14" i="1" s="1"/>
  <c r="BP14" i="1" s="1"/>
  <c r="BS14" i="1" s="1"/>
  <c r="BV14" i="1" s="1"/>
  <c r="BY14" i="1" s="1"/>
  <c r="CB14" i="1" s="1"/>
  <c r="CE14" i="1" s="1"/>
  <c r="Z13" i="1"/>
  <c r="AC13" i="1" s="1"/>
  <c r="AF13" i="1" s="1"/>
  <c r="AI13" i="1" s="1"/>
  <c r="AL13" i="1" s="1"/>
  <c r="AO13" i="1" s="1"/>
  <c r="AR13" i="1" s="1"/>
  <c r="AU13" i="1" s="1"/>
  <c r="AX13" i="1" s="1"/>
  <c r="BA13" i="1" s="1"/>
  <c r="BD13" i="1" s="1"/>
  <c r="BG13" i="1" s="1"/>
  <c r="BJ13" i="1" s="1"/>
  <c r="BM13" i="1" s="1"/>
  <c r="BP13" i="1" s="1"/>
  <c r="BS13" i="1" s="1"/>
  <c r="BV13" i="1" s="1"/>
  <c r="BY13" i="1" s="1"/>
  <c r="CB13" i="1" s="1"/>
  <c r="CE13" i="1" s="1"/>
  <c r="Z19" i="1"/>
  <c r="AC19" i="1" s="1"/>
  <c r="AF19" i="1" s="1"/>
  <c r="AI19" i="1" s="1"/>
  <c r="AL19" i="1" s="1"/>
  <c r="AO19" i="1" s="1"/>
  <c r="AR19" i="1" s="1"/>
  <c r="AU19" i="1" s="1"/>
  <c r="AX19" i="1" s="1"/>
  <c r="BA19" i="1" s="1"/>
  <c r="BD19" i="1" s="1"/>
  <c r="BG19" i="1" s="1"/>
  <c r="BJ19" i="1" s="1"/>
  <c r="BM19" i="1" s="1"/>
  <c r="BP19" i="1" s="1"/>
  <c r="BS19" i="1" s="1"/>
  <c r="BV19" i="1" s="1"/>
  <c r="BY19" i="1" s="1"/>
  <c r="CB19" i="1" s="1"/>
  <c r="CE19" i="1" s="1"/>
  <c r="Z17" i="1"/>
  <c r="AC17" i="1" s="1"/>
  <c r="AF17" i="1" s="1"/>
  <c r="AI17" i="1" s="1"/>
  <c r="AL17" i="1" s="1"/>
  <c r="AO17" i="1" s="1"/>
  <c r="AR17" i="1" s="1"/>
  <c r="AU17" i="1" s="1"/>
  <c r="AX17" i="1" s="1"/>
  <c r="BA17" i="1" s="1"/>
  <c r="BD17" i="1" s="1"/>
  <c r="BG17" i="1" s="1"/>
  <c r="BJ17" i="1" s="1"/>
  <c r="BM17" i="1" s="1"/>
  <c r="BP17" i="1" s="1"/>
  <c r="BS17" i="1" s="1"/>
  <c r="BV17" i="1" s="1"/>
  <c r="BY17" i="1" s="1"/>
  <c r="CB17" i="1" s="1"/>
  <c r="CE17" i="1" s="1"/>
  <c r="Z16" i="1"/>
  <c r="AC16" i="1" s="1"/>
  <c r="AF16" i="1" s="1"/>
  <c r="AI16" i="1" s="1"/>
  <c r="AL16" i="1" s="1"/>
  <c r="AO16" i="1" s="1"/>
  <c r="AR16" i="1" s="1"/>
  <c r="AU16" i="1" s="1"/>
  <c r="AX16" i="1" s="1"/>
  <c r="BA16" i="1" s="1"/>
  <c r="BD16" i="1" s="1"/>
  <c r="BG16" i="1" s="1"/>
  <c r="BJ16" i="1" s="1"/>
  <c r="BM16" i="1" s="1"/>
  <c r="BP16" i="1" s="1"/>
  <c r="BS16" i="1" s="1"/>
  <c r="BV16" i="1" s="1"/>
  <c r="BY16" i="1" s="1"/>
  <c r="CB16" i="1" s="1"/>
  <c r="CE16" i="1" s="1"/>
  <c r="Z11" i="1"/>
  <c r="AC11" i="1" s="1"/>
  <c r="AF11" i="1" s="1"/>
  <c r="AI11" i="1" s="1"/>
  <c r="AL11" i="1" s="1"/>
  <c r="AO11" i="1" s="1"/>
  <c r="AR11" i="1" s="1"/>
  <c r="AU11" i="1" s="1"/>
  <c r="AX11" i="1" s="1"/>
  <c r="BA11" i="1" s="1"/>
  <c r="BD11" i="1" s="1"/>
  <c r="BG11" i="1" s="1"/>
  <c r="BJ11" i="1" s="1"/>
  <c r="BM11" i="1" s="1"/>
  <c r="BP11" i="1" s="1"/>
  <c r="BS11" i="1" s="1"/>
  <c r="BV11" i="1" s="1"/>
  <c r="BY11" i="1" s="1"/>
  <c r="CB11" i="1" s="1"/>
  <c r="CE11" i="1" s="1"/>
  <c r="Z8" i="1"/>
  <c r="AC8" i="1" s="1"/>
  <c r="AF8" i="1" s="1"/>
  <c r="AI8" i="1" s="1"/>
  <c r="AL8" i="1" s="1"/>
  <c r="AO8" i="1" s="1"/>
  <c r="AR8" i="1" s="1"/>
  <c r="Z48" i="1"/>
  <c r="AC48" i="1" s="1"/>
  <c r="AF48" i="1" s="1"/>
  <c r="AI48" i="1" s="1"/>
  <c r="AL48" i="1" s="1"/>
  <c r="AO48" i="1" s="1"/>
  <c r="AR48" i="1" s="1"/>
  <c r="AU48" i="1" s="1"/>
  <c r="AX48" i="1" s="1"/>
  <c r="BA48" i="1" s="1"/>
  <c r="BD48" i="1" s="1"/>
  <c r="BG48" i="1" s="1"/>
  <c r="BJ48" i="1" s="1"/>
  <c r="BM48" i="1" s="1"/>
  <c r="BS48" i="1" s="1"/>
  <c r="BV48" i="1" s="1"/>
  <c r="BY48" i="1" s="1"/>
  <c r="CB48" i="1" s="1"/>
  <c r="CE48" i="1" s="1"/>
  <c r="AR46" i="1" l="1"/>
  <c r="AU46" i="1" s="1"/>
  <c r="AX46" i="1" s="1"/>
  <c r="BA46" i="1" s="1"/>
  <c r="BD46" i="1" s="1"/>
  <c r="BG46" i="1" s="1"/>
  <c r="BJ46" i="1" s="1"/>
  <c r="BM46" i="1" s="1"/>
  <c r="BP46" i="1" s="1"/>
  <c r="BS46" i="1" s="1"/>
  <c r="BV46" i="1" s="1"/>
  <c r="BY46" i="1" s="1"/>
  <c r="CB46" i="1" s="1"/>
  <c r="CE46" i="1" s="1"/>
  <c r="AO46" i="1"/>
  <c r="AU8" i="1"/>
  <c r="AX8" i="1" s="1"/>
  <c r="BA8" i="1" s="1"/>
  <c r="BD8" i="1" s="1"/>
  <c r="BG8" i="1" s="1"/>
  <c r="BJ8" i="1" s="1"/>
  <c r="BM8" i="1" s="1"/>
  <c r="BP8" i="1" s="1"/>
  <c r="BS8" i="1" s="1"/>
  <c r="BV8" i="1" s="1"/>
  <c r="BY8" i="1" s="1"/>
  <c r="CB8" i="1" s="1"/>
  <c r="CE8" i="1" s="1"/>
  <c r="AU9" i="1"/>
  <c r="AX9" i="1" s="1"/>
  <c r="BA9" i="1" s="1"/>
  <c r="BD9" i="1" s="1"/>
  <c r="BG9" i="1" s="1"/>
  <c r="BJ9" i="1" s="1"/>
  <c r="BM9" i="1" s="1"/>
  <c r="BP9" i="1" s="1"/>
  <c r="BS9" i="1" s="1"/>
  <c r="BV9" i="1" s="1"/>
  <c r="BY9" i="1" s="1"/>
  <c r="CB9" i="1" s="1"/>
  <c r="CE9" i="1" s="1"/>
  <c r="F51" i="1"/>
  <c r="H51" i="1" s="1"/>
</calcChain>
</file>

<file path=xl/sharedStrings.xml><?xml version="1.0" encoding="utf-8"?>
<sst xmlns="http://schemas.openxmlformats.org/spreadsheetml/2006/main" count="181" uniqueCount="71">
  <si>
    <t>KENT RO SYSTEMS LTD</t>
  </si>
  <si>
    <t>ROORKEE</t>
  </si>
  <si>
    <t xml:space="preserve">SUPER PLUS </t>
  </si>
  <si>
    <t>SUPREME PLUS</t>
  </si>
  <si>
    <t xml:space="preserve"> ACE PLUS</t>
  </si>
  <si>
    <t>PART NAME</t>
  </si>
  <si>
    <t xml:space="preserve">FRONT COVER SUPER PLUS </t>
  </si>
  <si>
    <t xml:space="preserve">TANK TRAY SUPER PLUS </t>
  </si>
  <si>
    <t xml:space="preserve">MOUNTING PLATE SUPER PLUS </t>
  </si>
  <si>
    <t xml:space="preserve">MOUNTING PLATE SUPER PLUS BLACK </t>
  </si>
  <si>
    <t xml:space="preserve">BOTTOM TANK SUPER PLUS </t>
  </si>
  <si>
    <t xml:space="preserve">BOTTOM TANK SUPER PLUS BLACK </t>
  </si>
  <si>
    <t xml:space="preserve">TANK TRAY SUPREME PLUS </t>
  </si>
  <si>
    <t xml:space="preserve">TANK NEW SUPREME PLUS </t>
  </si>
  <si>
    <t xml:space="preserve">MOUNTING PLATE SUPREME  PLUS </t>
  </si>
  <si>
    <t xml:space="preserve">FRONT COVER SUPREME PLUS </t>
  </si>
  <si>
    <t>FRONT COVER ACE PLUS</t>
  </si>
  <si>
    <t xml:space="preserve">TANK NEW SUPREME PLUS BLACK </t>
  </si>
  <si>
    <t xml:space="preserve">MOUNTING PLATE SUPREME  PLUS BLACK </t>
  </si>
  <si>
    <t>FRONT COVER ACE PLUS S. Grey</t>
  </si>
  <si>
    <t xml:space="preserve">FRONT COVER SUPREME PLUS S. GREY </t>
  </si>
  <si>
    <t>Item Code</t>
  </si>
  <si>
    <t>600493B</t>
  </si>
  <si>
    <t>600494B</t>
  </si>
  <si>
    <t>602166B</t>
  </si>
  <si>
    <t>602167B</t>
  </si>
  <si>
    <t>601150G</t>
  </si>
  <si>
    <t>602168G</t>
  </si>
  <si>
    <t>Plan</t>
  </si>
  <si>
    <t>Dispatch Plan till Date</t>
  </si>
  <si>
    <t>Dispatch Actual till Date</t>
  </si>
  <si>
    <t>BALANCE as On date</t>
  </si>
  <si>
    <t>Actual</t>
  </si>
  <si>
    <t>Ach</t>
  </si>
  <si>
    <t>RATE</t>
  </si>
  <si>
    <t>Value</t>
  </si>
  <si>
    <t>REMARKS</t>
  </si>
  <si>
    <t>Jute box requirement for balance plan</t>
  </si>
  <si>
    <t>OPTIMA</t>
  </si>
  <si>
    <t>POWP-TOP COVER KG OPTIMA</t>
  </si>
  <si>
    <t>POWP-MIDDLE PARTITION  KG OPTIMA</t>
  </si>
  <si>
    <t>POWP-BOTTAM TANK KG OPTIMA PP2120MC</t>
  </si>
  <si>
    <t>POWP-TOP TANK KG OPTIMA PP2120MC</t>
  </si>
  <si>
    <t>GRAVITY PARTS</t>
  </si>
  <si>
    <t>POWP-TOP LID</t>
  </si>
  <si>
    <t>POWP-CARBON HOUSING</t>
  </si>
  <si>
    <t>POWP-CARBON HOUSING CAP</t>
  </si>
  <si>
    <t>POWP-INTEL FUNNEL</t>
  </si>
  <si>
    <t>NOIDA A-06</t>
  </si>
  <si>
    <t xml:space="preserve">Air Fryer </t>
  </si>
  <si>
    <t>NOIDA A-07</t>
  </si>
  <si>
    <t xml:space="preserve">Ach Till Date </t>
  </si>
  <si>
    <t xml:space="preserve">EMPRO </t>
  </si>
  <si>
    <t xml:space="preserve">FRONT COVER EMPRO </t>
  </si>
  <si>
    <t>Touch Panel Housing 116166</t>
  </si>
  <si>
    <t>Touch Panel Housing 116185</t>
  </si>
  <si>
    <t>Top Cover 116185</t>
  </si>
  <si>
    <t>Top Cover 116186</t>
  </si>
  <si>
    <t>Air Fryer body classic 4.5 l</t>
  </si>
  <si>
    <t>Top Plastic Ring-116166</t>
  </si>
  <si>
    <t>GRAND STAR</t>
  </si>
  <si>
    <t>POWP-TANK TRAY GRAND STAR</t>
  </si>
  <si>
    <t>POWP-TANK TRAY NEW GPMRO</t>
  </si>
  <si>
    <t>GPMRO</t>
  </si>
  <si>
    <t>POWP-TANK TRAY NEW ZENITH</t>
  </si>
  <si>
    <t>601351B</t>
  </si>
  <si>
    <t xml:space="preserve">   </t>
  </si>
  <si>
    <t>ELEGANT</t>
  </si>
  <si>
    <t>FRONT COVER ELEGANT LITE PRIN TRANSPARENT</t>
  </si>
  <si>
    <t>FRONT COVER ELEGANT LITE SMOKE GRAY</t>
  </si>
  <si>
    <t>603698G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</si>
</sst>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7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2" fillId="0" borderId="1" xfId="0" applyFont="1" applyBorder="1"/>
    <xf numFmtId="0" fontId="1" fillId="0" borderId="2" xfId="0" applyFont="1" applyBorder="1"/>
    <xf numFmtId="17" fontId="1" fillId="0" borderId="1" xfId="0" applyNumberFormat="1" applyFont="1" applyBorder="1" applyAlignment="1">
      <alignment vertical="center"/>
    </xf>
    <xf numFmtId="0" fontId="3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1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4" fillId="0" borderId="1" xfId="0" applyFont="1" applyBorder="1" applyAlignment="1">
      <alignment wrapText="1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I54"/>
  <sheetViews>
    <sheetView tabSelected="1" zoomScale="85" zoomScaleNormal="8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J13" sqref="J13"/>
    </sheetView>
  </sheetViews>
  <sheetFormatPr defaultColWidth="8.85546875" defaultRowHeight="15" x14ac:dyDescent="0.25"/>
  <cols>
    <col min="1" max="1" width="15.5703125" style="1" customWidth="1"/>
    <col min="2" max="2" width="44.85546875" style="1" bestFit="1" customWidth="1"/>
    <col min="3" max="3" width="9.7109375" style="1" customWidth="1"/>
    <col min="4" max="4" width="8.140625" style="1" customWidth="1"/>
    <col min="5" max="5" width="11.28515625" style="1" customWidth="1"/>
    <col min="6" max="6" width="12.85546875" style="1" customWidth="1"/>
    <col min="7" max="8" width="9.7109375" style="1" customWidth="1"/>
    <col min="9" max="14" width="8.85546875" style="1"/>
    <col min="15" max="27" width="8.85546875" style="1" customWidth="1"/>
    <col min="28" max="28" width="8.7109375" style="1" customWidth="1"/>
    <col min="29" max="29" width="8.28515625" style="1" customWidth="1"/>
    <col min="30" max="83" width="8.85546875" style="1" customWidth="1"/>
    <col min="84" max="85" width="8.85546875" style="1"/>
    <col min="86" max="86" width="41.140625" style="1" customWidth="1"/>
    <col min="87" max="87" width="37.42578125" style="1" bestFit="1" customWidth="1"/>
    <col min="88" max="16384" width="8.85546875" style="1"/>
  </cols>
  <sheetData>
    <row r="1" spans="1:87" x14ac:dyDescent="0.25">
      <c r="A1" s="1" t="s">
        <v>0</v>
      </c>
    </row>
    <row r="3" spans="1:87" ht="43.15" customHeight="1" x14ac:dyDescent="0.25">
      <c r="A3" s="2"/>
      <c r="B3" s="2" t="s">
        <v>5</v>
      </c>
      <c r="C3" s="2" t="s">
        <v>21</v>
      </c>
      <c r="D3" s="2" t="s">
        <v>28</v>
      </c>
      <c r="E3" s="3" t="s">
        <v>29</v>
      </c>
      <c r="F3" s="3" t="s">
        <v>30</v>
      </c>
      <c r="G3" s="3" t="s">
        <v>51</v>
      </c>
      <c r="H3" s="3" t="s">
        <v>31</v>
      </c>
      <c r="I3" s="30">
        <v>46174</v>
      </c>
      <c r="J3" s="31"/>
      <c r="K3" s="31"/>
      <c r="L3" s="30">
        <v>46175</v>
      </c>
      <c r="M3" s="31"/>
      <c r="N3" s="31"/>
      <c r="O3" s="30">
        <v>46176</v>
      </c>
      <c r="P3" s="31"/>
      <c r="Q3" s="31"/>
      <c r="R3" s="30">
        <v>46177</v>
      </c>
      <c r="S3" s="31"/>
      <c r="T3" s="31"/>
      <c r="U3" s="30">
        <v>46178</v>
      </c>
      <c r="V3" s="31"/>
      <c r="W3" s="31"/>
      <c r="X3" s="30">
        <v>46179</v>
      </c>
      <c r="Y3" s="31"/>
      <c r="Z3" s="31"/>
      <c r="AA3" s="30">
        <v>46180</v>
      </c>
      <c r="AB3" s="31"/>
      <c r="AC3" s="31"/>
      <c r="AD3" s="30">
        <v>46181</v>
      </c>
      <c r="AE3" s="31"/>
      <c r="AF3" s="31"/>
      <c r="AG3" s="30">
        <v>46182</v>
      </c>
      <c r="AH3" s="31"/>
      <c r="AI3" s="31"/>
      <c r="AJ3" s="30">
        <v>46183</v>
      </c>
      <c r="AK3" s="31"/>
      <c r="AL3" s="31"/>
      <c r="AM3" s="30">
        <v>46184</v>
      </c>
      <c r="AN3" s="31"/>
      <c r="AO3" s="31"/>
      <c r="AP3" s="30">
        <v>46185</v>
      </c>
      <c r="AQ3" s="31"/>
      <c r="AR3" s="31"/>
      <c r="AS3" s="30">
        <v>46186</v>
      </c>
      <c r="AT3" s="31"/>
      <c r="AU3" s="31"/>
      <c r="AV3" s="30">
        <v>46187</v>
      </c>
      <c r="AW3" s="31"/>
      <c r="AX3" s="31"/>
      <c r="AY3" s="30">
        <v>46188</v>
      </c>
      <c r="AZ3" s="31"/>
      <c r="BA3" s="31"/>
      <c r="BB3" s="30">
        <v>46189</v>
      </c>
      <c r="BC3" s="31"/>
      <c r="BD3" s="31"/>
      <c r="BE3" s="30">
        <v>46190</v>
      </c>
      <c r="BF3" s="31"/>
      <c r="BG3" s="31"/>
      <c r="BH3" s="30">
        <v>46191</v>
      </c>
      <c r="BI3" s="31"/>
      <c r="BJ3" s="31"/>
      <c r="BK3" s="30">
        <v>46192</v>
      </c>
      <c r="BL3" s="31"/>
      <c r="BM3" s="31"/>
      <c r="BN3" s="30">
        <v>46193</v>
      </c>
      <c r="BO3" s="31"/>
      <c r="BP3" s="31"/>
      <c r="BQ3" s="30">
        <v>46194</v>
      </c>
      <c r="BR3" s="31"/>
      <c r="BS3" s="31"/>
      <c r="BT3" s="30">
        <v>46195</v>
      </c>
      <c r="BU3" s="31"/>
      <c r="BV3" s="31"/>
      <c r="BW3" s="30">
        <v>46196</v>
      </c>
      <c r="BX3" s="31"/>
      <c r="BY3" s="31"/>
      <c r="BZ3" s="30">
        <v>46197</v>
      </c>
      <c r="CA3" s="31"/>
      <c r="CB3" s="31"/>
      <c r="CC3" s="30">
        <v>46198</v>
      </c>
      <c r="CD3" s="31"/>
      <c r="CE3" s="31"/>
      <c r="CF3" s="2" t="s">
        <v>34</v>
      </c>
      <c r="CG3" s="2" t="s">
        <v>35</v>
      </c>
      <c r="CH3" s="2" t="s">
        <v>36</v>
      </c>
      <c r="CI3" s="2" t="s">
        <v>37</v>
      </c>
    </row>
    <row r="4" spans="1:87" x14ac:dyDescent="0.25">
      <c r="A4" s="17" t="s">
        <v>1</v>
      </c>
      <c r="B4" s="5">
        <v>46143</v>
      </c>
      <c r="C4" s="2"/>
      <c r="D4" s="2"/>
      <c r="E4" s="2"/>
      <c r="F4" s="2"/>
      <c r="G4" s="2"/>
      <c r="H4" s="2"/>
      <c r="I4" s="2" t="s">
        <v>28</v>
      </c>
      <c r="J4" s="2" t="s">
        <v>32</v>
      </c>
      <c r="K4" s="2" t="s">
        <v>33</v>
      </c>
      <c r="L4" s="2" t="s">
        <v>28</v>
      </c>
      <c r="M4" s="2" t="s">
        <v>32</v>
      </c>
      <c r="N4" s="2" t="s">
        <v>33</v>
      </c>
      <c r="O4" s="2" t="s">
        <v>28</v>
      </c>
      <c r="P4" s="2" t="s">
        <v>32</v>
      </c>
      <c r="Q4" s="2" t="s">
        <v>33</v>
      </c>
      <c r="R4" s="2" t="s">
        <v>28</v>
      </c>
      <c r="S4" s="2" t="s">
        <v>32</v>
      </c>
      <c r="T4" s="2" t="s">
        <v>33</v>
      </c>
      <c r="U4" s="2" t="s">
        <v>28</v>
      </c>
      <c r="V4" s="2" t="s">
        <v>32</v>
      </c>
      <c r="W4" s="2" t="s">
        <v>33</v>
      </c>
      <c r="X4" s="2" t="s">
        <v>28</v>
      </c>
      <c r="Y4" s="2" t="s">
        <v>32</v>
      </c>
      <c r="Z4" s="2" t="s">
        <v>33</v>
      </c>
      <c r="AA4" s="2" t="s">
        <v>28</v>
      </c>
      <c r="AB4" s="2" t="s">
        <v>32</v>
      </c>
      <c r="AC4" s="2" t="s">
        <v>33</v>
      </c>
      <c r="AD4" s="2" t="s">
        <v>28</v>
      </c>
      <c r="AE4" s="2" t="s">
        <v>32</v>
      </c>
      <c r="AF4" s="2" t="s">
        <v>33</v>
      </c>
      <c r="AG4" s="2" t="s">
        <v>28</v>
      </c>
      <c r="AH4" s="2" t="s">
        <v>32</v>
      </c>
      <c r="AI4" s="2" t="s">
        <v>33</v>
      </c>
      <c r="AJ4" s="2" t="s">
        <v>28</v>
      </c>
      <c r="AK4" s="2" t="s">
        <v>32</v>
      </c>
      <c r="AL4" s="2" t="s">
        <v>33</v>
      </c>
      <c r="AM4" s="2" t="s">
        <v>28</v>
      </c>
      <c r="AN4" s="2" t="s">
        <v>32</v>
      </c>
      <c r="AO4" s="2" t="s">
        <v>33</v>
      </c>
      <c r="AP4" s="2" t="s">
        <v>28</v>
      </c>
      <c r="AQ4" s="2" t="s">
        <v>32</v>
      </c>
      <c r="AR4" s="2" t="s">
        <v>33</v>
      </c>
      <c r="AS4" s="2" t="s">
        <v>28</v>
      </c>
      <c r="AT4" s="2" t="s">
        <v>32</v>
      </c>
      <c r="AU4" s="2" t="s">
        <v>33</v>
      </c>
      <c r="AV4" s="2" t="s">
        <v>28</v>
      </c>
      <c r="AW4" s="2" t="s">
        <v>32</v>
      </c>
      <c r="AX4" s="2" t="s">
        <v>33</v>
      </c>
      <c r="AY4" s="2" t="s">
        <v>28</v>
      </c>
      <c r="AZ4" s="2" t="s">
        <v>32</v>
      </c>
      <c r="BA4" s="2" t="s">
        <v>33</v>
      </c>
      <c r="BB4" s="2" t="s">
        <v>28</v>
      </c>
      <c r="BC4" s="2" t="s">
        <v>32</v>
      </c>
      <c r="BD4" s="2" t="s">
        <v>33</v>
      </c>
      <c r="BE4" s="2" t="s">
        <v>28</v>
      </c>
      <c r="BF4" s="2" t="s">
        <v>32</v>
      </c>
      <c r="BG4" s="2" t="s">
        <v>33</v>
      </c>
      <c r="BH4" s="2" t="s">
        <v>28</v>
      </c>
      <c r="BI4" s="2" t="s">
        <v>32</v>
      </c>
      <c r="BJ4" s="2" t="s">
        <v>33</v>
      </c>
      <c r="BK4" s="2" t="s">
        <v>28</v>
      </c>
      <c r="BL4" s="2" t="s">
        <v>32</v>
      </c>
      <c r="BM4" s="2" t="s">
        <v>33</v>
      </c>
      <c r="BN4" s="2" t="s">
        <v>28</v>
      </c>
      <c r="BO4" s="2" t="s">
        <v>32</v>
      </c>
      <c r="BP4" s="2" t="s">
        <v>33</v>
      </c>
      <c r="BQ4" s="2" t="s">
        <v>28</v>
      </c>
      <c r="BR4" s="2" t="s">
        <v>32</v>
      </c>
      <c r="BS4" s="2" t="s">
        <v>33</v>
      </c>
      <c r="BT4" s="2" t="s">
        <v>28</v>
      </c>
      <c r="BU4" s="2" t="s">
        <v>32</v>
      </c>
      <c r="BV4" s="2" t="s">
        <v>33</v>
      </c>
      <c r="BW4" s="2" t="s">
        <v>28</v>
      </c>
      <c r="BX4" s="2" t="s">
        <v>32</v>
      </c>
      <c r="BY4" s="2" t="s">
        <v>33</v>
      </c>
      <c r="BZ4" s="2" t="s">
        <v>28</v>
      </c>
      <c r="CA4" s="2" t="s">
        <v>32</v>
      </c>
      <c r="CB4" s="2" t="s">
        <v>33</v>
      </c>
      <c r="CC4" s="2" t="s">
        <v>28</v>
      </c>
      <c r="CD4" s="2" t="s">
        <v>32</v>
      </c>
      <c r="CE4" s="2" t="s">
        <v>33</v>
      </c>
      <c r="CF4" s="2"/>
      <c r="CG4" s="2"/>
      <c r="CH4" s="2"/>
      <c r="CI4" s="2"/>
    </row>
    <row r="5" spans="1:87" x14ac:dyDescent="0.25">
      <c r="A5" s="2" t="s">
        <v>2</v>
      </c>
      <c r="B5" s="2" t="s">
        <v>6</v>
      </c>
      <c r="C5" s="6">
        <v>600491</v>
      </c>
      <c r="D5" s="2"/>
      <c r="E5" s="2">
        <f>AS5+AV5+BB5+AY5++BH5+BK5+BN5+BQ5+BW5+BZ5+CC5+BT5+AP5+AJ5+AD5+AG5+AA5+X5+U5+R5+O5+L5+AM5+I5+BE5</f>
        <v>0</v>
      </c>
      <c r="F5" s="2">
        <f>J5+M5+P5+V5+Y5+AE5+AH5+AK5+AN5+AQ5+AT5+AW5+AZ5+BC5+BF5+BL5++BI5+BO5+BR5+BU5+BX5+CA5+CD5+S5+AB5</f>
        <v>0</v>
      </c>
      <c r="G5" s="2"/>
      <c r="H5" s="2">
        <f>D5-F5</f>
        <v>0</v>
      </c>
      <c r="I5" s="2"/>
      <c r="J5" s="2"/>
      <c r="K5" s="2">
        <f>I5-J5</f>
        <v>0</v>
      </c>
      <c r="L5" s="2"/>
      <c r="M5" s="2"/>
      <c r="N5" s="2">
        <f>K5+L5-M5</f>
        <v>0</v>
      </c>
      <c r="O5" s="2"/>
      <c r="P5" s="2"/>
      <c r="Q5" s="2">
        <f>N5+O5-P5</f>
        <v>0</v>
      </c>
      <c r="R5" s="2"/>
      <c r="S5" s="2"/>
      <c r="T5" s="2">
        <f>Q5+R5-S5</f>
        <v>0</v>
      </c>
      <c r="U5" s="2"/>
      <c r="V5" s="2"/>
      <c r="W5" s="2">
        <f>T5+U5-V5</f>
        <v>0</v>
      </c>
      <c r="X5" s="2"/>
      <c r="Y5" s="2"/>
      <c r="Z5" s="2">
        <f>W5+X5-Y5</f>
        <v>0</v>
      </c>
      <c r="AA5" s="2"/>
      <c r="AB5" s="2"/>
      <c r="AC5" s="2">
        <f>Z5+AA5-AB5</f>
        <v>0</v>
      </c>
      <c r="AD5" s="2"/>
      <c r="AE5" s="2"/>
      <c r="AF5" s="2">
        <f>AC5+AD5-AE5</f>
        <v>0</v>
      </c>
      <c r="AG5" s="2"/>
      <c r="AH5" s="2"/>
      <c r="AI5" s="2">
        <f>AF5+AG5-AH5</f>
        <v>0</v>
      </c>
      <c r="AJ5" s="2"/>
      <c r="AK5" s="2"/>
      <c r="AL5" s="2">
        <f>AI5+AJ5-AK5</f>
        <v>0</v>
      </c>
      <c r="AM5" s="2"/>
      <c r="AN5" s="2"/>
      <c r="AO5" s="2">
        <f>AL5+AM5-AN5</f>
        <v>0</v>
      </c>
      <c r="AP5" s="2"/>
      <c r="AQ5" s="2"/>
      <c r="AR5" s="2">
        <f>AO5+AP5-AQ5</f>
        <v>0</v>
      </c>
      <c r="AS5" s="2"/>
      <c r="AT5" s="2"/>
      <c r="AU5" s="2">
        <f>AR5+AS5-AT5</f>
        <v>0</v>
      </c>
      <c r="AV5" s="2"/>
      <c r="AW5" s="2"/>
      <c r="AX5" s="2">
        <f>AU5+AV5-AW5</f>
        <v>0</v>
      </c>
      <c r="AY5" s="2"/>
      <c r="AZ5" s="2"/>
      <c r="BA5" s="2">
        <f>AX5+AY5-AZ5</f>
        <v>0</v>
      </c>
      <c r="BB5" s="2"/>
      <c r="BC5" s="2"/>
      <c r="BD5" s="2">
        <f>BA5+BB5-BC5</f>
        <v>0</v>
      </c>
      <c r="BE5" s="2"/>
      <c r="BF5" s="2"/>
      <c r="BG5" s="2">
        <f>BD5+BE5-BF5</f>
        <v>0</v>
      </c>
      <c r="BH5" s="2"/>
      <c r="BI5" s="2"/>
      <c r="BJ5" s="2">
        <f>BG5+BH5-BI5</f>
        <v>0</v>
      </c>
      <c r="BK5" s="2"/>
      <c r="BL5" s="2"/>
      <c r="BM5" s="2">
        <f>BJ5+BK5-BL5</f>
        <v>0</v>
      </c>
      <c r="BN5" s="2"/>
      <c r="BO5" s="2"/>
      <c r="BP5" s="2">
        <f>BM5+BN5-BO5</f>
        <v>0</v>
      </c>
      <c r="BQ5" s="2"/>
      <c r="BR5" s="2"/>
      <c r="BS5" s="2">
        <f>BP5+BQ5-BR5</f>
        <v>0</v>
      </c>
      <c r="BT5" s="2"/>
      <c r="BU5" s="2"/>
      <c r="BV5" s="2">
        <f>BS5+BT5-BU5</f>
        <v>0</v>
      </c>
      <c r="BW5" s="2"/>
      <c r="BX5" s="2"/>
      <c r="BY5" s="2">
        <f>BV5+BW5-BX5</f>
        <v>0</v>
      </c>
      <c r="BZ5" s="2"/>
      <c r="CA5" s="2"/>
      <c r="CB5" s="2">
        <f t="shared" ref="CB5:CB46" si="0">BY5+BZ5-CA5</f>
        <v>0</v>
      </c>
      <c r="CC5" s="2"/>
      <c r="CD5" s="2"/>
      <c r="CE5" s="2">
        <f>CB5+CC5-CD5</f>
        <v>0</v>
      </c>
      <c r="CF5" s="2"/>
      <c r="CG5" s="2"/>
      <c r="CH5" s="2"/>
      <c r="CI5" s="2"/>
    </row>
    <row r="6" spans="1:87" x14ac:dyDescent="0.25">
      <c r="A6" s="2" t="s">
        <v>2</v>
      </c>
      <c r="B6" s="2" t="s">
        <v>7</v>
      </c>
      <c r="C6" s="6">
        <v>600492</v>
      </c>
      <c r="D6" s="2">
        <f>2254+2000+500</f>
        <v>4754</v>
      </c>
      <c r="E6" s="2">
        <f t="shared" ref="E6:E9" si="1">AS6+AV6+BB6+AY6++BH6+BK6+BN6+BQ6+BW6+BZ6+CC6+BT6+AP6+AJ6+AD6+AG6+AA6+X6+U6+R6+O6+L6+AM6+I6+BE6</f>
        <v>4246</v>
      </c>
      <c r="F6" s="2">
        <f t="shared" ref="F6:F18" si="2">J6+M6+P6+V6+Y6+AE6+AH6+AK6+AN6+AQ6+AT6+AW6+AZ6+BC6+BF6+BL6++BI6+BO6+BR6+BU6+BX6+CA6+CD6+S6+AB6</f>
        <v>4246</v>
      </c>
      <c r="G6" s="2"/>
      <c r="H6" s="2">
        <f t="shared" ref="H6:H40" si="3">D6-F6</f>
        <v>508</v>
      </c>
      <c r="I6" s="2"/>
      <c r="J6" s="2"/>
      <c r="K6" s="2">
        <f t="shared" ref="K6:K46" si="4">I6-J6</f>
        <v>0</v>
      </c>
      <c r="L6" s="2"/>
      <c r="M6" s="2"/>
      <c r="N6" s="2">
        <f t="shared" ref="N6:N46" si="5">K6+L6-M6</f>
        <v>0</v>
      </c>
      <c r="O6" s="2">
        <v>26</v>
      </c>
      <c r="P6" s="2">
        <v>26</v>
      </c>
      <c r="Q6" s="2">
        <f t="shared" ref="Q6:Q46" si="6">N6+O6-P6</f>
        <v>0</v>
      </c>
      <c r="R6" s="2"/>
      <c r="S6" s="2"/>
      <c r="T6" s="2">
        <f t="shared" ref="T6:T46" si="7">Q6+R6-S6</f>
        <v>0</v>
      </c>
      <c r="U6" s="2"/>
      <c r="V6" s="2"/>
      <c r="W6" s="2">
        <f t="shared" ref="W6:W46" si="8">T6+U6-V6</f>
        <v>0</v>
      </c>
      <c r="X6" s="2"/>
      <c r="Y6" s="2"/>
      <c r="Z6" s="2">
        <f t="shared" ref="Z6:Z46" si="9">W6+X6-Y6</f>
        <v>0</v>
      </c>
      <c r="AA6" s="2"/>
      <c r="AB6" s="2"/>
      <c r="AC6" s="2">
        <f t="shared" ref="AC6:AC46" si="10">Z6+AA6-AB6</f>
        <v>0</v>
      </c>
      <c r="AD6" s="2"/>
      <c r="AE6" s="2"/>
      <c r="AF6" s="2">
        <f t="shared" ref="AF6:AF46" si="11">AC6+AD6-AE6</f>
        <v>0</v>
      </c>
      <c r="AG6" s="2"/>
      <c r="AH6" s="2"/>
      <c r="AI6" s="2">
        <f t="shared" ref="AI6:AI46" si="12">AF6+AG6-AH6</f>
        <v>0</v>
      </c>
      <c r="AJ6" s="2"/>
      <c r="AK6" s="2"/>
      <c r="AL6" s="2">
        <f t="shared" ref="AL6:AL26" si="13">AI6+AJ6-AK6</f>
        <v>0</v>
      </c>
      <c r="AM6" s="2"/>
      <c r="AN6" s="2"/>
      <c r="AO6" s="2">
        <f t="shared" ref="AO6:AO46" si="14">AL6+AM6-AN6</f>
        <v>0</v>
      </c>
      <c r="AP6" s="2"/>
      <c r="AQ6" s="2"/>
      <c r="AR6" s="2">
        <f t="shared" ref="AR6:AR46" si="15">AO6+AP6-AQ6</f>
        <v>0</v>
      </c>
      <c r="AS6" s="2">
        <v>2220</v>
      </c>
      <c r="AT6" s="2">
        <v>2220</v>
      </c>
      <c r="AU6" s="2">
        <f t="shared" ref="AU6:AU9" si="16">AR6+AS6-AT6</f>
        <v>0</v>
      </c>
      <c r="AV6" s="2"/>
      <c r="AW6" s="2"/>
      <c r="AX6" s="2">
        <f t="shared" ref="AX6:AX46" si="17">AU6+AV6-AW6</f>
        <v>0</v>
      </c>
      <c r="AY6" s="2"/>
      <c r="AZ6" s="2"/>
      <c r="BA6" s="2">
        <f t="shared" ref="BA6:BA46" si="18">AX6+AY6-AZ6</f>
        <v>0</v>
      </c>
      <c r="BB6" s="2"/>
      <c r="BC6" s="2"/>
      <c r="BD6" s="2">
        <f t="shared" ref="BD6:BD46" si="19">BA6+BB6-BC6</f>
        <v>0</v>
      </c>
      <c r="BE6" s="2"/>
      <c r="BF6" s="2"/>
      <c r="BG6" s="2">
        <f t="shared" ref="BG6:BG46" si="20">BD6+BE6-BF6</f>
        <v>0</v>
      </c>
      <c r="BH6" s="2"/>
      <c r="BI6" s="2"/>
      <c r="BJ6" s="2">
        <f t="shared" ref="BJ6:BJ46" si="21">BG6+BH6-BI6</f>
        <v>0</v>
      </c>
      <c r="BK6" s="2">
        <v>550</v>
      </c>
      <c r="BL6" s="2">
        <v>550</v>
      </c>
      <c r="BM6" s="2">
        <f t="shared" ref="BM6:BM46" si="22">BJ6+BK6-BL6</f>
        <v>0</v>
      </c>
      <c r="BN6" s="2"/>
      <c r="BO6" s="2"/>
      <c r="BP6" s="2">
        <f t="shared" ref="BP6:BP46" si="23">BM6+BN6-BO6</f>
        <v>0</v>
      </c>
      <c r="BQ6" s="2"/>
      <c r="BR6" s="2"/>
      <c r="BS6" s="2">
        <f t="shared" ref="BS6:BS46" si="24">BP6+BQ6-BR6</f>
        <v>0</v>
      </c>
      <c r="BT6" s="2">
        <v>300</v>
      </c>
      <c r="BU6" s="2">
        <v>309</v>
      </c>
      <c r="BV6" s="2">
        <f t="shared" ref="BV6:BV46" si="25">BS6+BT6-BU6</f>
        <v>-9</v>
      </c>
      <c r="BW6" s="2">
        <v>1150</v>
      </c>
      <c r="BX6" s="2">
        <f>191+950</f>
        <v>1141</v>
      </c>
      <c r="BY6" s="2">
        <f t="shared" ref="BY6:BY46" si="26">BV6+BW6-BX6</f>
        <v>0</v>
      </c>
      <c r="BZ6" s="2"/>
      <c r="CA6" s="2"/>
      <c r="CB6" s="2">
        <f t="shared" si="0"/>
        <v>0</v>
      </c>
      <c r="CC6" s="2"/>
      <c r="CD6" s="2"/>
      <c r="CE6" s="2">
        <f t="shared" ref="CE6:CE46" si="27">CB6+CC6-CD6</f>
        <v>0</v>
      </c>
      <c r="CF6" s="2"/>
      <c r="CG6" s="2"/>
      <c r="CH6" s="2"/>
      <c r="CI6" s="2"/>
    </row>
    <row r="7" spans="1:87" x14ac:dyDescent="0.25">
      <c r="A7" s="2" t="s">
        <v>2</v>
      </c>
      <c r="B7" s="2" t="s">
        <v>8</v>
      </c>
      <c r="C7" s="6">
        <v>600493</v>
      </c>
      <c r="D7" s="2">
        <f>75+75+500</f>
        <v>650</v>
      </c>
      <c r="E7" s="2">
        <f t="shared" si="1"/>
        <v>650</v>
      </c>
      <c r="F7" s="2">
        <f t="shared" si="2"/>
        <v>650</v>
      </c>
      <c r="G7" s="2"/>
      <c r="H7" s="2">
        <f t="shared" si="3"/>
        <v>0</v>
      </c>
      <c r="I7" s="2"/>
      <c r="J7" s="2"/>
      <c r="K7" s="2">
        <f t="shared" si="4"/>
        <v>0</v>
      </c>
      <c r="L7" s="2"/>
      <c r="M7" s="2"/>
      <c r="N7" s="2">
        <f t="shared" si="5"/>
        <v>0</v>
      </c>
      <c r="O7" s="2">
        <v>75</v>
      </c>
      <c r="P7" s="2">
        <v>75</v>
      </c>
      <c r="Q7" s="2">
        <f t="shared" si="6"/>
        <v>0</v>
      </c>
      <c r="R7" s="2"/>
      <c r="S7" s="2"/>
      <c r="T7" s="2">
        <f t="shared" si="7"/>
        <v>0</v>
      </c>
      <c r="U7" s="2"/>
      <c r="V7" s="2"/>
      <c r="W7" s="2">
        <f t="shared" si="8"/>
        <v>0</v>
      </c>
      <c r="X7" s="2"/>
      <c r="Y7" s="2"/>
      <c r="Z7" s="2">
        <f t="shared" si="9"/>
        <v>0</v>
      </c>
      <c r="AA7" s="2"/>
      <c r="AB7" s="2"/>
      <c r="AC7" s="2">
        <f t="shared" si="10"/>
        <v>0</v>
      </c>
      <c r="AD7" s="2"/>
      <c r="AE7" s="2"/>
      <c r="AF7" s="2">
        <f t="shared" si="11"/>
        <v>0</v>
      </c>
      <c r="AG7" s="2"/>
      <c r="AH7" s="2"/>
      <c r="AI7" s="2">
        <f t="shared" si="12"/>
        <v>0</v>
      </c>
      <c r="AJ7" s="2"/>
      <c r="AK7" s="2"/>
      <c r="AL7" s="2">
        <f t="shared" si="13"/>
        <v>0</v>
      </c>
      <c r="AM7" s="2"/>
      <c r="AN7" s="2"/>
      <c r="AO7" s="2">
        <f t="shared" si="14"/>
        <v>0</v>
      </c>
      <c r="AP7" s="2"/>
      <c r="AQ7" s="2"/>
      <c r="AR7" s="2">
        <f t="shared" si="15"/>
        <v>0</v>
      </c>
      <c r="AS7" s="2"/>
      <c r="AT7" s="2"/>
      <c r="AU7" s="2">
        <f t="shared" si="16"/>
        <v>0</v>
      </c>
      <c r="AV7" s="2"/>
      <c r="AW7" s="2"/>
      <c r="AX7" s="2">
        <f t="shared" si="17"/>
        <v>0</v>
      </c>
      <c r="AY7" s="2">
        <v>75</v>
      </c>
      <c r="AZ7" s="2">
        <v>75</v>
      </c>
      <c r="BA7" s="2">
        <f t="shared" si="18"/>
        <v>0</v>
      </c>
      <c r="BB7" s="2"/>
      <c r="BC7" s="2"/>
      <c r="BD7" s="2">
        <f t="shared" si="19"/>
        <v>0</v>
      </c>
      <c r="BE7" s="2"/>
      <c r="BF7" s="2"/>
      <c r="BG7" s="2">
        <f t="shared" si="20"/>
        <v>0</v>
      </c>
      <c r="BH7" s="2"/>
      <c r="BI7" s="2"/>
      <c r="BJ7" s="2">
        <f t="shared" si="21"/>
        <v>0</v>
      </c>
      <c r="BK7" s="2"/>
      <c r="BL7" s="2"/>
      <c r="BM7" s="2">
        <f t="shared" si="22"/>
        <v>0</v>
      </c>
      <c r="BN7" s="2"/>
      <c r="BO7" s="2"/>
      <c r="BP7" s="2">
        <f t="shared" si="23"/>
        <v>0</v>
      </c>
      <c r="BQ7" s="2"/>
      <c r="BR7" s="2"/>
      <c r="BS7" s="2">
        <f t="shared" si="24"/>
        <v>0</v>
      </c>
      <c r="BT7" s="2"/>
      <c r="BU7" s="2"/>
      <c r="BV7" s="2">
        <f t="shared" si="25"/>
        <v>0</v>
      </c>
      <c r="BW7" s="2"/>
      <c r="BX7" s="2"/>
      <c r="BY7" s="2">
        <f t="shared" si="26"/>
        <v>0</v>
      </c>
      <c r="BZ7" s="2"/>
      <c r="CA7" s="2"/>
      <c r="CB7" s="2">
        <f t="shared" si="0"/>
        <v>0</v>
      </c>
      <c r="CC7" s="2">
        <v>500</v>
      </c>
      <c r="CD7" s="2">
        <v>500</v>
      </c>
      <c r="CE7" s="2">
        <f t="shared" si="27"/>
        <v>0</v>
      </c>
      <c r="CF7" s="2"/>
      <c r="CG7" s="2"/>
      <c r="CH7" s="2"/>
      <c r="CI7" s="2"/>
    </row>
    <row r="8" spans="1:87" x14ac:dyDescent="0.25">
      <c r="A8" s="2" t="s">
        <v>2</v>
      </c>
      <c r="B8" s="2" t="s">
        <v>9</v>
      </c>
      <c r="C8" s="6" t="s">
        <v>22</v>
      </c>
      <c r="D8" s="2">
        <f>908+2000</f>
        <v>2908</v>
      </c>
      <c r="E8" s="2">
        <f t="shared" si="1"/>
        <v>2885</v>
      </c>
      <c r="F8" s="2">
        <f t="shared" si="2"/>
        <v>2908</v>
      </c>
      <c r="G8" s="2"/>
      <c r="H8" s="2">
        <f t="shared" si="3"/>
        <v>0</v>
      </c>
      <c r="I8" s="2"/>
      <c r="J8" s="2"/>
      <c r="K8" s="2">
        <f t="shared" si="4"/>
        <v>0</v>
      </c>
      <c r="L8" s="2"/>
      <c r="M8" s="2"/>
      <c r="N8" s="2">
        <f t="shared" si="5"/>
        <v>0</v>
      </c>
      <c r="O8" s="2"/>
      <c r="P8" s="2"/>
      <c r="Q8" s="2">
        <f t="shared" si="6"/>
        <v>0</v>
      </c>
      <c r="R8" s="2"/>
      <c r="S8" s="2"/>
      <c r="T8" s="2">
        <f t="shared" si="7"/>
        <v>0</v>
      </c>
      <c r="U8" s="2"/>
      <c r="V8" s="2"/>
      <c r="W8" s="2">
        <f t="shared" si="8"/>
        <v>0</v>
      </c>
      <c r="X8" s="2"/>
      <c r="Y8" s="2"/>
      <c r="Z8" s="2">
        <f t="shared" si="9"/>
        <v>0</v>
      </c>
      <c r="AA8" s="2"/>
      <c r="AB8" s="2"/>
      <c r="AC8" s="2">
        <f t="shared" si="10"/>
        <v>0</v>
      </c>
      <c r="AD8" s="2"/>
      <c r="AE8" s="2"/>
      <c r="AF8" s="2">
        <f t="shared" si="11"/>
        <v>0</v>
      </c>
      <c r="AG8" s="2"/>
      <c r="AH8" s="2"/>
      <c r="AI8" s="2">
        <f t="shared" si="12"/>
        <v>0</v>
      </c>
      <c r="AJ8" s="2"/>
      <c r="AK8" s="2"/>
      <c r="AL8" s="2">
        <f t="shared" si="13"/>
        <v>0</v>
      </c>
      <c r="AM8" s="2"/>
      <c r="AN8" s="2"/>
      <c r="AO8" s="2">
        <f t="shared" si="14"/>
        <v>0</v>
      </c>
      <c r="AP8" s="2">
        <v>630</v>
      </c>
      <c r="AQ8" s="2">
        <v>634</v>
      </c>
      <c r="AR8" s="2">
        <f t="shared" si="15"/>
        <v>-4</v>
      </c>
      <c r="AS8" s="2"/>
      <c r="AT8" s="2"/>
      <c r="AU8" s="2">
        <f t="shared" si="16"/>
        <v>-4</v>
      </c>
      <c r="AV8" s="2"/>
      <c r="AW8" s="2"/>
      <c r="AX8" s="2">
        <f t="shared" si="17"/>
        <v>-4</v>
      </c>
      <c r="AY8" s="2">
        <v>270</v>
      </c>
      <c r="AZ8" s="2">
        <v>270</v>
      </c>
      <c r="BA8" s="2">
        <f t="shared" si="18"/>
        <v>-4</v>
      </c>
      <c r="BB8" s="2"/>
      <c r="BC8" s="2"/>
      <c r="BD8" s="2">
        <f t="shared" si="19"/>
        <v>-4</v>
      </c>
      <c r="BE8" s="2"/>
      <c r="BF8" s="2"/>
      <c r="BG8" s="2">
        <f t="shared" si="20"/>
        <v>-4</v>
      </c>
      <c r="BH8" s="2">
        <v>260</v>
      </c>
      <c r="BI8" s="2">
        <v>260</v>
      </c>
      <c r="BJ8" s="2">
        <f t="shared" si="21"/>
        <v>-4</v>
      </c>
      <c r="BK8" s="2"/>
      <c r="BL8" s="2"/>
      <c r="BM8" s="2">
        <f t="shared" si="22"/>
        <v>-4</v>
      </c>
      <c r="BN8" s="2"/>
      <c r="BO8" s="2"/>
      <c r="BP8" s="2">
        <f t="shared" si="23"/>
        <v>-4</v>
      </c>
      <c r="BQ8" s="2"/>
      <c r="BR8" s="2"/>
      <c r="BS8" s="2">
        <f t="shared" si="24"/>
        <v>-4</v>
      </c>
      <c r="BT8" s="2"/>
      <c r="BU8" s="2"/>
      <c r="BV8" s="2">
        <f t="shared" si="25"/>
        <v>-4</v>
      </c>
      <c r="BW8" s="2">
        <v>875</v>
      </c>
      <c r="BX8" s="2">
        <v>874</v>
      </c>
      <c r="BY8" s="2">
        <f t="shared" si="26"/>
        <v>-3</v>
      </c>
      <c r="BZ8" s="2"/>
      <c r="CA8" s="2"/>
      <c r="CB8" s="2">
        <f t="shared" si="0"/>
        <v>-3</v>
      </c>
      <c r="CC8" s="2">
        <v>850</v>
      </c>
      <c r="CD8" s="2">
        <v>870</v>
      </c>
      <c r="CE8" s="2">
        <f t="shared" si="27"/>
        <v>-23</v>
      </c>
      <c r="CF8" s="2"/>
      <c r="CG8" s="2"/>
      <c r="CH8" s="2"/>
      <c r="CI8" s="2"/>
    </row>
    <row r="9" spans="1:87" x14ac:dyDescent="0.25">
      <c r="A9" s="2" t="s">
        <v>2</v>
      </c>
      <c r="B9" s="2" t="s">
        <v>10</v>
      </c>
      <c r="C9" s="6">
        <v>600494</v>
      </c>
      <c r="D9" s="2">
        <f>26+500</f>
        <v>526</v>
      </c>
      <c r="E9" s="2">
        <f t="shared" si="1"/>
        <v>26</v>
      </c>
      <c r="F9" s="2">
        <f t="shared" si="2"/>
        <v>26</v>
      </c>
      <c r="G9" s="2"/>
      <c r="H9" s="2">
        <f t="shared" si="3"/>
        <v>500</v>
      </c>
      <c r="I9" s="2"/>
      <c r="J9" s="2"/>
      <c r="K9" s="2">
        <f t="shared" si="4"/>
        <v>0</v>
      </c>
      <c r="L9" s="2"/>
      <c r="M9" s="2"/>
      <c r="N9" s="2">
        <f t="shared" si="5"/>
        <v>0</v>
      </c>
      <c r="O9" s="2">
        <v>26</v>
      </c>
      <c r="P9" s="2">
        <v>26</v>
      </c>
      <c r="Q9" s="2">
        <f t="shared" si="6"/>
        <v>0</v>
      </c>
      <c r="R9" s="2"/>
      <c r="S9" s="2"/>
      <c r="T9" s="2">
        <f t="shared" si="7"/>
        <v>0</v>
      </c>
      <c r="U9" s="2"/>
      <c r="V9" s="2"/>
      <c r="W9" s="2">
        <f t="shared" si="8"/>
        <v>0</v>
      </c>
      <c r="X9" s="2"/>
      <c r="Y9" s="2"/>
      <c r="Z9" s="2">
        <f t="shared" si="9"/>
        <v>0</v>
      </c>
      <c r="AA9" s="2"/>
      <c r="AB9" s="2"/>
      <c r="AC9" s="2">
        <f t="shared" si="10"/>
        <v>0</v>
      </c>
      <c r="AD9" s="2"/>
      <c r="AE9" s="2"/>
      <c r="AF9" s="2">
        <f t="shared" si="11"/>
        <v>0</v>
      </c>
      <c r="AG9" s="2"/>
      <c r="AH9" s="2"/>
      <c r="AI9" s="2">
        <f t="shared" si="12"/>
        <v>0</v>
      </c>
      <c r="AJ9" s="2"/>
      <c r="AK9" s="2"/>
      <c r="AL9" s="2">
        <f t="shared" si="13"/>
        <v>0</v>
      </c>
      <c r="AM9" s="2"/>
      <c r="AN9" s="2"/>
      <c r="AO9" s="2">
        <f t="shared" si="14"/>
        <v>0</v>
      </c>
      <c r="AP9" s="2"/>
      <c r="AQ9" s="2"/>
      <c r="AR9" s="2">
        <f t="shared" si="15"/>
        <v>0</v>
      </c>
      <c r="AS9" s="2"/>
      <c r="AT9" s="2"/>
      <c r="AU9" s="2">
        <f t="shared" si="16"/>
        <v>0</v>
      </c>
      <c r="AV9" s="2"/>
      <c r="AW9" s="2"/>
      <c r="AX9" s="2">
        <f t="shared" si="17"/>
        <v>0</v>
      </c>
      <c r="AY9" s="2"/>
      <c r="AZ9" s="2"/>
      <c r="BA9" s="2">
        <f t="shared" si="18"/>
        <v>0</v>
      </c>
      <c r="BB9" s="2"/>
      <c r="BC9" s="2"/>
      <c r="BD9" s="2">
        <f t="shared" si="19"/>
        <v>0</v>
      </c>
      <c r="BE9" s="2"/>
      <c r="BF9" s="2"/>
      <c r="BG9" s="2">
        <f t="shared" si="20"/>
        <v>0</v>
      </c>
      <c r="BH9" s="2"/>
      <c r="BI9" s="2"/>
      <c r="BJ9" s="2">
        <f t="shared" si="21"/>
        <v>0</v>
      </c>
      <c r="BK9" s="2"/>
      <c r="BL9" s="2"/>
      <c r="BM9" s="2">
        <f t="shared" si="22"/>
        <v>0</v>
      </c>
      <c r="BN9" s="2"/>
      <c r="BO9" s="2"/>
      <c r="BP9" s="2">
        <f t="shared" si="23"/>
        <v>0</v>
      </c>
      <c r="BQ9" s="2"/>
      <c r="BR9" s="2"/>
      <c r="BS9" s="2">
        <f t="shared" si="24"/>
        <v>0</v>
      </c>
      <c r="BT9" s="2"/>
      <c r="BU9" s="2"/>
      <c r="BV9" s="2">
        <f t="shared" si="25"/>
        <v>0</v>
      </c>
      <c r="BW9" s="2"/>
      <c r="BX9" s="2"/>
      <c r="BY9" s="2">
        <f t="shared" si="26"/>
        <v>0</v>
      </c>
      <c r="BZ9" s="2"/>
      <c r="CA9" s="2"/>
      <c r="CB9" s="2">
        <f t="shared" si="0"/>
        <v>0</v>
      </c>
      <c r="CC9" s="2"/>
      <c r="CD9" s="2"/>
      <c r="CE9" s="2">
        <f t="shared" si="27"/>
        <v>0</v>
      </c>
      <c r="CF9" s="2"/>
      <c r="CG9" s="2"/>
      <c r="CH9" s="2"/>
      <c r="CI9" s="2"/>
    </row>
    <row r="10" spans="1:87" x14ac:dyDescent="0.25">
      <c r="A10" s="2" t="s">
        <v>2</v>
      </c>
      <c r="B10" s="2" t="s">
        <v>11</v>
      </c>
      <c r="C10" s="6" t="s">
        <v>23</v>
      </c>
      <c r="D10" s="2">
        <v>2000</v>
      </c>
      <c r="E10" s="2">
        <f>AS10+AV10+BB10+AY10++BH10+BK10+BN10+BQ10+BW10+BZ10+CC10+BT10+AP10+AJ10+AD10+AG10+AA10+X10+U10+R10+O10+L10+AM10+I10+BE10</f>
        <v>2000</v>
      </c>
      <c r="F10" s="2">
        <f t="shared" si="2"/>
        <v>2000</v>
      </c>
      <c r="G10" s="2"/>
      <c r="H10" s="2">
        <f t="shared" si="3"/>
        <v>0</v>
      </c>
      <c r="I10" s="2"/>
      <c r="J10" s="2"/>
      <c r="K10" s="2">
        <f t="shared" si="4"/>
        <v>0</v>
      </c>
      <c r="L10" s="2"/>
      <c r="M10" s="2"/>
      <c r="N10" s="2">
        <f t="shared" si="5"/>
        <v>0</v>
      </c>
      <c r="O10" s="2"/>
      <c r="P10" s="2"/>
      <c r="Q10" s="2">
        <f t="shared" si="6"/>
        <v>0</v>
      </c>
      <c r="R10" s="2"/>
      <c r="S10" s="2"/>
      <c r="T10" s="2">
        <f t="shared" si="7"/>
        <v>0</v>
      </c>
      <c r="U10" s="2"/>
      <c r="V10" s="2"/>
      <c r="W10" s="2">
        <f t="shared" si="8"/>
        <v>0</v>
      </c>
      <c r="X10" s="2"/>
      <c r="Y10" s="2"/>
      <c r="Z10" s="2">
        <f t="shared" si="9"/>
        <v>0</v>
      </c>
      <c r="AA10" s="2"/>
      <c r="AB10" s="2"/>
      <c r="AC10" s="2">
        <f t="shared" si="10"/>
        <v>0</v>
      </c>
      <c r="AD10" s="2"/>
      <c r="AE10" s="2"/>
      <c r="AF10" s="2">
        <f t="shared" si="11"/>
        <v>0</v>
      </c>
      <c r="AG10" s="2"/>
      <c r="AH10" s="2"/>
      <c r="AI10" s="2">
        <f t="shared" si="12"/>
        <v>0</v>
      </c>
      <c r="AJ10" s="2"/>
      <c r="AK10" s="2"/>
      <c r="AL10" s="2">
        <f t="shared" si="13"/>
        <v>0</v>
      </c>
      <c r="AM10" s="2"/>
      <c r="AN10" s="2"/>
      <c r="AO10" s="2">
        <f t="shared" si="14"/>
        <v>0</v>
      </c>
      <c r="AP10" s="2"/>
      <c r="AQ10" s="2"/>
      <c r="AR10" s="2">
        <f t="shared" si="15"/>
        <v>0</v>
      </c>
      <c r="AS10" s="2"/>
      <c r="AT10" s="2"/>
      <c r="AU10" s="2">
        <f t="shared" ref="AU10:AU46" si="28">AR10+AS10-AT10</f>
        <v>0</v>
      </c>
      <c r="AV10" s="2"/>
      <c r="AW10" s="2"/>
      <c r="AX10" s="2">
        <f t="shared" si="17"/>
        <v>0</v>
      </c>
      <c r="AY10" s="2"/>
      <c r="AZ10" s="2"/>
      <c r="BA10" s="2">
        <f t="shared" si="18"/>
        <v>0</v>
      </c>
      <c r="BB10" s="2"/>
      <c r="BC10" s="2"/>
      <c r="BD10" s="2">
        <f t="shared" si="19"/>
        <v>0</v>
      </c>
      <c r="BE10" s="2"/>
      <c r="BF10" s="2"/>
      <c r="BG10" s="2">
        <f t="shared" si="20"/>
        <v>0</v>
      </c>
      <c r="BH10" s="2"/>
      <c r="BI10" s="2"/>
      <c r="BJ10" s="2">
        <f t="shared" si="21"/>
        <v>0</v>
      </c>
      <c r="BK10" s="2">
        <v>550</v>
      </c>
      <c r="BL10" s="2">
        <v>550</v>
      </c>
      <c r="BM10" s="2">
        <f t="shared" si="22"/>
        <v>0</v>
      </c>
      <c r="BN10" s="2"/>
      <c r="BO10" s="2"/>
      <c r="BP10" s="2">
        <f t="shared" si="23"/>
        <v>0</v>
      </c>
      <c r="BQ10" s="2"/>
      <c r="BR10" s="2"/>
      <c r="BS10" s="2">
        <f t="shared" si="24"/>
        <v>0</v>
      </c>
      <c r="BT10" s="2">
        <v>300</v>
      </c>
      <c r="BU10" s="2">
        <v>309</v>
      </c>
      <c r="BV10" s="2">
        <f t="shared" si="25"/>
        <v>-9</v>
      </c>
      <c r="BW10" s="2">
        <v>1150</v>
      </c>
      <c r="BX10" s="2">
        <v>1141</v>
      </c>
      <c r="BY10" s="2">
        <f t="shared" si="26"/>
        <v>0</v>
      </c>
      <c r="BZ10" s="2"/>
      <c r="CA10" s="2"/>
      <c r="CB10" s="2">
        <f t="shared" si="0"/>
        <v>0</v>
      </c>
      <c r="CC10" s="2"/>
      <c r="CD10" s="2"/>
      <c r="CE10" s="2">
        <f t="shared" si="27"/>
        <v>0</v>
      </c>
      <c r="CF10" s="2"/>
      <c r="CG10" s="2"/>
      <c r="CH10" s="2"/>
      <c r="CI10" s="2"/>
    </row>
    <row r="11" spans="1:87" x14ac:dyDescent="0.25">
      <c r="A11" s="2" t="s">
        <v>3</v>
      </c>
      <c r="B11" s="2" t="s">
        <v>12</v>
      </c>
      <c r="C11" s="6">
        <v>602165</v>
      </c>
      <c r="D11" s="2">
        <f>1614+522+2000</f>
        <v>4136</v>
      </c>
      <c r="E11" s="2">
        <f t="shared" ref="E6:E26" si="29">AS11+AV11+BB11+AY11++BH11+BK11+BN11+BQ11+BW11+BZ11+CC11+BT11+AP11+AJ11+AD11+AG11+AA11+X11+U11+R11+O11+L11+AM11+I11+BE11</f>
        <v>2887</v>
      </c>
      <c r="F11" s="2">
        <f>J11+M11+P11+V11+Y11+AE11+AH11+AK11+AN11+AQ11+AT11+AW11+AZ11+BC11+BF11+BL11++BI11+BO11+BR11+BU11+BX11+CA11+CD11+S11+AB11</f>
        <v>2909</v>
      </c>
      <c r="G11" s="2"/>
      <c r="H11" s="2">
        <f>D11-F11</f>
        <v>1227</v>
      </c>
      <c r="I11" s="2"/>
      <c r="J11" s="2"/>
      <c r="K11" s="2">
        <f t="shared" si="4"/>
        <v>0</v>
      </c>
      <c r="L11" s="2"/>
      <c r="M11" s="2"/>
      <c r="N11" s="2">
        <f t="shared" si="5"/>
        <v>0</v>
      </c>
      <c r="O11" s="2">
        <v>700</v>
      </c>
      <c r="P11" s="2">
        <v>724</v>
      </c>
      <c r="Q11" s="2">
        <f t="shared" si="6"/>
        <v>-24</v>
      </c>
      <c r="R11" s="2"/>
      <c r="S11" s="2"/>
      <c r="T11" s="2">
        <f t="shared" si="7"/>
        <v>-24</v>
      </c>
      <c r="U11" s="2"/>
      <c r="V11" s="2"/>
      <c r="W11" s="2">
        <f t="shared" si="8"/>
        <v>-24</v>
      </c>
      <c r="X11" s="2"/>
      <c r="Y11" s="2"/>
      <c r="Z11" s="2">
        <f t="shared" si="9"/>
        <v>-24</v>
      </c>
      <c r="AA11" s="2"/>
      <c r="AB11" s="2"/>
      <c r="AC11" s="2">
        <f t="shared" si="10"/>
        <v>-24</v>
      </c>
      <c r="AD11" s="2">
        <v>700</v>
      </c>
      <c r="AE11" s="2">
        <v>693</v>
      </c>
      <c r="AF11" s="2">
        <f t="shared" si="11"/>
        <v>-17</v>
      </c>
      <c r="AG11" s="2">
        <v>430</v>
      </c>
      <c r="AH11" s="2">
        <v>436</v>
      </c>
      <c r="AI11" s="2">
        <f t="shared" si="12"/>
        <v>-23</v>
      </c>
      <c r="AJ11" s="2"/>
      <c r="AK11" s="2"/>
      <c r="AL11" s="2">
        <f t="shared" si="13"/>
        <v>-23</v>
      </c>
      <c r="AM11" s="2"/>
      <c r="AN11" s="2"/>
      <c r="AO11" s="2">
        <f t="shared" si="14"/>
        <v>-23</v>
      </c>
      <c r="AP11" s="2">
        <v>122</v>
      </c>
      <c r="AQ11" s="2">
        <v>122</v>
      </c>
      <c r="AR11" s="2">
        <f t="shared" si="15"/>
        <v>-23</v>
      </c>
      <c r="AS11" s="2"/>
      <c r="AT11" s="2"/>
      <c r="AU11" s="2">
        <f t="shared" si="28"/>
        <v>-23</v>
      </c>
      <c r="AV11" s="2"/>
      <c r="AW11" s="2"/>
      <c r="AX11" s="2">
        <f t="shared" si="17"/>
        <v>-23</v>
      </c>
      <c r="AY11" s="2">
        <v>455</v>
      </c>
      <c r="AZ11" s="2">
        <v>455</v>
      </c>
      <c r="BA11" s="2">
        <f t="shared" si="18"/>
        <v>-23</v>
      </c>
      <c r="BB11" s="2"/>
      <c r="BC11" s="2"/>
      <c r="BD11" s="2">
        <f t="shared" si="19"/>
        <v>-23</v>
      </c>
      <c r="BE11" s="2"/>
      <c r="BF11" s="2"/>
      <c r="BG11" s="2">
        <f t="shared" si="20"/>
        <v>-23</v>
      </c>
      <c r="BH11" s="2">
        <v>400</v>
      </c>
      <c r="BI11" s="2">
        <v>400</v>
      </c>
      <c r="BJ11" s="2">
        <f t="shared" si="21"/>
        <v>-23</v>
      </c>
      <c r="BK11" s="2"/>
      <c r="BL11" s="2"/>
      <c r="BM11" s="2">
        <f t="shared" si="22"/>
        <v>-23</v>
      </c>
      <c r="BN11" s="2"/>
      <c r="BO11" s="2"/>
      <c r="BP11" s="2">
        <f t="shared" si="23"/>
        <v>-23</v>
      </c>
      <c r="BQ11" s="2"/>
      <c r="BR11" s="2"/>
      <c r="BS11" s="2">
        <f t="shared" si="24"/>
        <v>-23</v>
      </c>
      <c r="BT11" s="2"/>
      <c r="BU11" s="2"/>
      <c r="BV11" s="2">
        <f t="shared" si="25"/>
        <v>-23</v>
      </c>
      <c r="BW11" s="2"/>
      <c r="BX11" s="2"/>
      <c r="BY11" s="2">
        <f t="shared" si="26"/>
        <v>-23</v>
      </c>
      <c r="BZ11" s="2"/>
      <c r="CA11" s="2"/>
      <c r="CB11" s="2">
        <f t="shared" si="0"/>
        <v>-23</v>
      </c>
      <c r="CC11" s="2">
        <v>80</v>
      </c>
      <c r="CD11" s="2">
        <v>79</v>
      </c>
      <c r="CE11" s="2">
        <f t="shared" si="27"/>
        <v>-22</v>
      </c>
      <c r="CF11" s="2"/>
      <c r="CG11" s="2"/>
      <c r="CH11" s="2"/>
      <c r="CI11" s="2"/>
    </row>
    <row r="12" spans="1:87" x14ac:dyDescent="0.25">
      <c r="A12" s="2" t="s">
        <v>3</v>
      </c>
      <c r="B12" s="2" t="s">
        <v>13</v>
      </c>
      <c r="C12" s="6">
        <v>602166</v>
      </c>
      <c r="D12" s="2">
        <v>400</v>
      </c>
      <c r="E12" s="2">
        <f>AS12+AV12+BB12+AY12++BH12+BK12+BN12+BQ12+BW12+BZ12+CC12+BT12+AP12+AJ12+AD12+AG12+AA12+X12+U12+R12+O12+L12+AM12+I12+BE12</f>
        <v>400</v>
      </c>
      <c r="F12" s="2">
        <f t="shared" si="2"/>
        <v>400</v>
      </c>
      <c r="G12" s="2"/>
      <c r="H12" s="2">
        <f t="shared" si="3"/>
        <v>0</v>
      </c>
      <c r="I12" s="2"/>
      <c r="J12" s="2"/>
      <c r="K12" s="2">
        <f t="shared" si="4"/>
        <v>0</v>
      </c>
      <c r="L12" s="2"/>
      <c r="M12" s="2"/>
      <c r="N12" s="2">
        <f t="shared" si="5"/>
        <v>0</v>
      </c>
      <c r="O12" s="2"/>
      <c r="P12" s="2"/>
      <c r="Q12" s="2">
        <f t="shared" si="6"/>
        <v>0</v>
      </c>
      <c r="R12" s="2"/>
      <c r="S12" s="2"/>
      <c r="T12" s="2">
        <f t="shared" si="7"/>
        <v>0</v>
      </c>
      <c r="U12" s="2"/>
      <c r="V12" s="2"/>
      <c r="W12" s="2">
        <f t="shared" si="8"/>
        <v>0</v>
      </c>
      <c r="X12" s="2"/>
      <c r="Y12" s="2"/>
      <c r="Z12" s="2">
        <f t="shared" si="9"/>
        <v>0</v>
      </c>
      <c r="AA12" s="2"/>
      <c r="AB12" s="2"/>
      <c r="AC12" s="2">
        <f t="shared" si="10"/>
        <v>0</v>
      </c>
      <c r="AD12" s="2"/>
      <c r="AE12" s="2"/>
      <c r="AF12" s="2">
        <f t="shared" si="11"/>
        <v>0</v>
      </c>
      <c r="AG12" s="2"/>
      <c r="AH12" s="2"/>
      <c r="AI12" s="2">
        <f t="shared" si="12"/>
        <v>0</v>
      </c>
      <c r="AJ12" s="2"/>
      <c r="AK12" s="2"/>
      <c r="AL12" s="2">
        <f t="shared" si="13"/>
        <v>0</v>
      </c>
      <c r="AM12" s="2"/>
      <c r="AN12" s="2"/>
      <c r="AO12" s="2">
        <f t="shared" si="14"/>
        <v>0</v>
      </c>
      <c r="AP12" s="2"/>
      <c r="AQ12" s="2"/>
      <c r="AR12" s="2">
        <f t="shared" si="15"/>
        <v>0</v>
      </c>
      <c r="AS12" s="2"/>
      <c r="AT12" s="2"/>
      <c r="AU12" s="2">
        <f t="shared" si="28"/>
        <v>0</v>
      </c>
      <c r="AV12" s="2"/>
      <c r="AW12" s="2"/>
      <c r="AX12" s="2">
        <f t="shared" si="17"/>
        <v>0</v>
      </c>
      <c r="AY12" s="2"/>
      <c r="AZ12" s="2"/>
      <c r="BA12" s="2">
        <f t="shared" si="18"/>
        <v>0</v>
      </c>
      <c r="BB12" s="2"/>
      <c r="BC12" s="2"/>
      <c r="BD12" s="2">
        <f t="shared" si="19"/>
        <v>0</v>
      </c>
      <c r="BE12" s="2"/>
      <c r="BF12" s="2"/>
      <c r="BG12" s="2">
        <f t="shared" si="20"/>
        <v>0</v>
      </c>
      <c r="BH12" s="2">
        <v>400</v>
      </c>
      <c r="BI12" s="2">
        <v>400</v>
      </c>
      <c r="BJ12" s="2">
        <f t="shared" si="21"/>
        <v>0</v>
      </c>
      <c r="BK12" s="2"/>
      <c r="BL12" s="2"/>
      <c r="BM12" s="2">
        <f t="shared" si="22"/>
        <v>0</v>
      </c>
      <c r="BN12" s="2"/>
      <c r="BO12" s="2"/>
      <c r="BP12" s="2">
        <f t="shared" si="23"/>
        <v>0</v>
      </c>
      <c r="BQ12" s="2"/>
      <c r="BR12" s="2"/>
      <c r="BS12" s="2">
        <f t="shared" si="24"/>
        <v>0</v>
      </c>
      <c r="BT12" s="2"/>
      <c r="BU12" s="2"/>
      <c r="BV12" s="2">
        <f t="shared" si="25"/>
        <v>0</v>
      </c>
      <c r="BW12" s="2"/>
      <c r="BX12" s="2"/>
      <c r="BY12" s="2">
        <f t="shared" si="26"/>
        <v>0</v>
      </c>
      <c r="BZ12" s="2"/>
      <c r="CA12" s="2"/>
      <c r="CB12" s="2">
        <f t="shared" si="0"/>
        <v>0</v>
      </c>
      <c r="CC12" s="2"/>
      <c r="CD12" s="2"/>
      <c r="CE12" s="2">
        <f t="shared" si="27"/>
        <v>0</v>
      </c>
      <c r="CF12" s="2"/>
      <c r="CG12" s="2"/>
      <c r="CH12" s="2"/>
      <c r="CI12" s="2"/>
    </row>
    <row r="13" spans="1:87" x14ac:dyDescent="0.25">
      <c r="A13" s="2" t="s">
        <v>3</v>
      </c>
      <c r="B13" s="2" t="s">
        <v>14</v>
      </c>
      <c r="C13" s="6">
        <v>602167</v>
      </c>
      <c r="D13" s="2">
        <v>400</v>
      </c>
      <c r="E13" s="2">
        <f t="shared" si="29"/>
        <v>400</v>
      </c>
      <c r="F13" s="2">
        <f t="shared" si="2"/>
        <v>400</v>
      </c>
      <c r="G13" s="2"/>
      <c r="H13" s="2">
        <f t="shared" si="3"/>
        <v>0</v>
      </c>
      <c r="I13" s="2"/>
      <c r="J13" s="2"/>
      <c r="K13" s="2">
        <f t="shared" si="4"/>
        <v>0</v>
      </c>
      <c r="L13" s="2"/>
      <c r="M13" s="2"/>
      <c r="N13" s="2">
        <f t="shared" si="5"/>
        <v>0</v>
      </c>
      <c r="O13" s="2"/>
      <c r="P13" s="2"/>
      <c r="Q13" s="2">
        <f t="shared" si="6"/>
        <v>0</v>
      </c>
      <c r="R13" s="2"/>
      <c r="S13" s="2"/>
      <c r="T13" s="2">
        <f t="shared" si="7"/>
        <v>0</v>
      </c>
      <c r="U13" s="2"/>
      <c r="V13" s="2"/>
      <c r="W13" s="2">
        <f t="shared" si="8"/>
        <v>0</v>
      </c>
      <c r="X13" s="2"/>
      <c r="Y13" s="2"/>
      <c r="Z13" s="2">
        <f t="shared" si="9"/>
        <v>0</v>
      </c>
      <c r="AA13" s="2"/>
      <c r="AB13" s="2"/>
      <c r="AC13" s="2">
        <f t="shared" si="10"/>
        <v>0</v>
      </c>
      <c r="AD13" s="2"/>
      <c r="AE13" s="2"/>
      <c r="AF13" s="2">
        <f t="shared" si="11"/>
        <v>0</v>
      </c>
      <c r="AG13" s="2"/>
      <c r="AH13" s="2"/>
      <c r="AI13" s="2">
        <f t="shared" si="12"/>
        <v>0</v>
      </c>
      <c r="AJ13" s="2"/>
      <c r="AK13" s="2"/>
      <c r="AL13" s="2">
        <f t="shared" si="13"/>
        <v>0</v>
      </c>
      <c r="AM13" s="2"/>
      <c r="AN13" s="2"/>
      <c r="AO13" s="2">
        <f t="shared" si="14"/>
        <v>0</v>
      </c>
      <c r="AP13" s="2"/>
      <c r="AQ13" s="2"/>
      <c r="AR13" s="2">
        <f t="shared" si="15"/>
        <v>0</v>
      </c>
      <c r="AS13" s="2"/>
      <c r="AT13" s="2"/>
      <c r="AU13" s="2">
        <f t="shared" si="28"/>
        <v>0</v>
      </c>
      <c r="AV13" s="2"/>
      <c r="AW13" s="2"/>
      <c r="AX13" s="2">
        <f t="shared" si="17"/>
        <v>0</v>
      </c>
      <c r="AY13" s="2"/>
      <c r="AZ13" s="2"/>
      <c r="BA13" s="2">
        <f t="shared" si="18"/>
        <v>0</v>
      </c>
      <c r="BB13" s="2">
        <v>400</v>
      </c>
      <c r="BC13" s="2">
        <v>400</v>
      </c>
      <c r="BD13" s="2">
        <f t="shared" si="19"/>
        <v>0</v>
      </c>
      <c r="BE13" s="2"/>
      <c r="BF13" s="2"/>
      <c r="BG13" s="2">
        <f t="shared" si="20"/>
        <v>0</v>
      </c>
      <c r="BH13" s="2"/>
      <c r="BI13" s="2"/>
      <c r="BJ13" s="2">
        <f t="shared" si="21"/>
        <v>0</v>
      </c>
      <c r="BK13" s="2"/>
      <c r="BL13" s="2"/>
      <c r="BM13" s="2">
        <f t="shared" si="22"/>
        <v>0</v>
      </c>
      <c r="BN13" s="2"/>
      <c r="BO13" s="2"/>
      <c r="BP13" s="2">
        <f t="shared" si="23"/>
        <v>0</v>
      </c>
      <c r="BQ13" s="2"/>
      <c r="BR13" s="2"/>
      <c r="BS13" s="2">
        <f t="shared" si="24"/>
        <v>0</v>
      </c>
      <c r="BT13" s="2"/>
      <c r="BU13" s="2"/>
      <c r="BV13" s="2">
        <f t="shared" si="25"/>
        <v>0</v>
      </c>
      <c r="BW13" s="2"/>
      <c r="BX13" s="2"/>
      <c r="BY13" s="2">
        <f t="shared" si="26"/>
        <v>0</v>
      </c>
      <c r="BZ13" s="2"/>
      <c r="CA13" s="2"/>
      <c r="CB13" s="2">
        <f t="shared" si="0"/>
        <v>0</v>
      </c>
      <c r="CC13" s="2"/>
      <c r="CD13" s="2"/>
      <c r="CE13" s="2">
        <f t="shared" si="27"/>
        <v>0</v>
      </c>
      <c r="CF13" s="2"/>
      <c r="CG13" s="2"/>
      <c r="CH13" s="2"/>
      <c r="CI13" s="2"/>
    </row>
    <row r="14" spans="1:87" x14ac:dyDescent="0.25">
      <c r="A14" s="2" t="s">
        <v>3</v>
      </c>
      <c r="B14" s="2" t="s">
        <v>15</v>
      </c>
      <c r="C14" s="6">
        <v>602168</v>
      </c>
      <c r="D14" s="2">
        <v>400</v>
      </c>
      <c r="E14" s="2">
        <f t="shared" si="29"/>
        <v>320</v>
      </c>
      <c r="F14" s="2">
        <f t="shared" si="2"/>
        <v>323</v>
      </c>
      <c r="G14" s="2"/>
      <c r="H14" s="2">
        <f t="shared" si="3"/>
        <v>77</v>
      </c>
      <c r="I14" s="2"/>
      <c r="J14" s="2"/>
      <c r="K14" s="2">
        <f>I14-J14</f>
        <v>0</v>
      </c>
      <c r="L14" s="2"/>
      <c r="M14" s="2"/>
      <c r="N14" s="2">
        <f t="shared" si="5"/>
        <v>0</v>
      </c>
      <c r="O14" s="2"/>
      <c r="P14" s="2"/>
      <c r="Q14" s="2">
        <f t="shared" si="6"/>
        <v>0</v>
      </c>
      <c r="R14" s="2"/>
      <c r="S14" s="2"/>
      <c r="T14" s="2">
        <f t="shared" si="7"/>
        <v>0</v>
      </c>
      <c r="U14" s="2"/>
      <c r="V14" s="2"/>
      <c r="W14" s="2">
        <f t="shared" si="8"/>
        <v>0</v>
      </c>
      <c r="X14" s="2"/>
      <c r="Y14" s="2"/>
      <c r="Z14" s="2">
        <f t="shared" si="9"/>
        <v>0</v>
      </c>
      <c r="AA14" s="2"/>
      <c r="AB14" s="2"/>
      <c r="AC14" s="2">
        <f t="shared" si="10"/>
        <v>0</v>
      </c>
      <c r="AD14" s="2"/>
      <c r="AE14" s="2"/>
      <c r="AF14" s="2">
        <f t="shared" si="11"/>
        <v>0</v>
      </c>
      <c r="AG14" s="2"/>
      <c r="AH14" s="2"/>
      <c r="AI14" s="2">
        <f t="shared" si="12"/>
        <v>0</v>
      </c>
      <c r="AJ14" s="2"/>
      <c r="AK14" s="2"/>
      <c r="AL14" s="2">
        <f t="shared" si="13"/>
        <v>0</v>
      </c>
      <c r="AM14" s="2"/>
      <c r="AN14" s="2"/>
      <c r="AO14" s="2">
        <f t="shared" si="14"/>
        <v>0</v>
      </c>
      <c r="AP14" s="2"/>
      <c r="AQ14" s="2"/>
      <c r="AR14" s="2">
        <f t="shared" si="15"/>
        <v>0</v>
      </c>
      <c r="AS14" s="2"/>
      <c r="AT14" s="2"/>
      <c r="AU14" s="2">
        <f t="shared" si="28"/>
        <v>0</v>
      </c>
      <c r="AV14" s="2"/>
      <c r="AW14" s="2"/>
      <c r="AX14" s="2">
        <f t="shared" si="17"/>
        <v>0</v>
      </c>
      <c r="AY14" s="2"/>
      <c r="AZ14" s="2"/>
      <c r="BA14" s="2">
        <f t="shared" si="18"/>
        <v>0</v>
      </c>
      <c r="BB14" s="2"/>
      <c r="BC14" s="2"/>
      <c r="BD14" s="2">
        <f t="shared" si="19"/>
        <v>0</v>
      </c>
      <c r="BE14" s="2"/>
      <c r="BF14" s="2"/>
      <c r="BG14" s="2">
        <f t="shared" si="20"/>
        <v>0</v>
      </c>
      <c r="BH14" s="2">
        <v>320</v>
      </c>
      <c r="BI14" s="2">
        <v>323</v>
      </c>
      <c r="BJ14" s="2">
        <f t="shared" si="21"/>
        <v>-3</v>
      </c>
      <c r="BK14" s="2"/>
      <c r="BL14" s="2"/>
      <c r="BM14" s="2">
        <f t="shared" si="22"/>
        <v>-3</v>
      </c>
      <c r="BN14" s="2"/>
      <c r="BO14" s="2"/>
      <c r="BP14" s="2">
        <f t="shared" si="23"/>
        <v>-3</v>
      </c>
      <c r="BQ14" s="2"/>
      <c r="BR14" s="2"/>
      <c r="BS14" s="2">
        <f t="shared" si="24"/>
        <v>-3</v>
      </c>
      <c r="BT14" s="2"/>
      <c r="BU14" s="2"/>
      <c r="BV14" s="2">
        <f t="shared" si="25"/>
        <v>-3</v>
      </c>
      <c r="BW14" s="2"/>
      <c r="BX14" s="2"/>
      <c r="BY14" s="2">
        <f t="shared" si="26"/>
        <v>-3</v>
      </c>
      <c r="BZ14" s="2"/>
      <c r="CA14" s="2"/>
      <c r="CB14" s="2">
        <f t="shared" si="0"/>
        <v>-3</v>
      </c>
      <c r="CC14" s="2"/>
      <c r="CD14" s="2"/>
      <c r="CE14" s="2">
        <f t="shared" si="27"/>
        <v>-3</v>
      </c>
      <c r="CF14" s="2"/>
      <c r="CG14" s="2"/>
      <c r="CH14" s="2"/>
      <c r="CI14" s="2"/>
    </row>
    <row r="15" spans="1:87" x14ac:dyDescent="0.25">
      <c r="A15" s="2" t="s">
        <v>4</v>
      </c>
      <c r="B15" s="2" t="s">
        <v>16</v>
      </c>
      <c r="C15" s="6">
        <v>601150</v>
      </c>
      <c r="D15" s="2">
        <v>500</v>
      </c>
      <c r="E15" s="2">
        <f t="shared" si="29"/>
        <v>0</v>
      </c>
      <c r="F15" s="2">
        <f t="shared" si="2"/>
        <v>0</v>
      </c>
      <c r="G15" s="2"/>
      <c r="H15" s="2">
        <f t="shared" si="3"/>
        <v>500</v>
      </c>
      <c r="I15" s="2"/>
      <c r="J15" s="2"/>
      <c r="K15" s="2">
        <f t="shared" si="4"/>
        <v>0</v>
      </c>
      <c r="L15" s="2"/>
      <c r="M15" s="2"/>
      <c r="N15" s="2">
        <f t="shared" si="5"/>
        <v>0</v>
      </c>
      <c r="O15" s="2"/>
      <c r="P15" s="2"/>
      <c r="Q15" s="2">
        <f t="shared" si="6"/>
        <v>0</v>
      </c>
      <c r="R15" s="2"/>
      <c r="S15" s="2"/>
      <c r="T15" s="2">
        <f t="shared" si="7"/>
        <v>0</v>
      </c>
      <c r="U15" s="2"/>
      <c r="V15" s="2"/>
      <c r="W15" s="2">
        <f t="shared" si="8"/>
        <v>0</v>
      </c>
      <c r="X15" s="2"/>
      <c r="Y15" s="2"/>
      <c r="Z15" s="2">
        <f t="shared" si="9"/>
        <v>0</v>
      </c>
      <c r="AA15" s="2"/>
      <c r="AB15" s="2"/>
      <c r="AC15" s="2">
        <f t="shared" si="10"/>
        <v>0</v>
      </c>
      <c r="AD15" s="2"/>
      <c r="AE15" s="2"/>
      <c r="AF15" s="2">
        <f t="shared" si="11"/>
        <v>0</v>
      </c>
      <c r="AG15" s="2"/>
      <c r="AH15" s="2"/>
      <c r="AI15" s="2">
        <f t="shared" si="12"/>
        <v>0</v>
      </c>
      <c r="AJ15" s="2"/>
      <c r="AK15" s="2"/>
      <c r="AL15" s="2">
        <f t="shared" si="13"/>
        <v>0</v>
      </c>
      <c r="AM15" s="2"/>
      <c r="AN15" s="2"/>
      <c r="AO15" s="2">
        <f t="shared" si="14"/>
        <v>0</v>
      </c>
      <c r="AP15" s="2"/>
      <c r="AQ15" s="2"/>
      <c r="AR15" s="2">
        <f t="shared" si="15"/>
        <v>0</v>
      </c>
      <c r="AS15" s="2"/>
      <c r="AT15" s="2"/>
      <c r="AU15" s="2">
        <f t="shared" si="28"/>
        <v>0</v>
      </c>
      <c r="AV15" s="2"/>
      <c r="AW15" s="2"/>
      <c r="AX15" s="2">
        <f t="shared" si="17"/>
        <v>0</v>
      </c>
      <c r="AY15" s="2"/>
      <c r="AZ15" s="2"/>
      <c r="BA15" s="2">
        <f t="shared" si="18"/>
        <v>0</v>
      </c>
      <c r="BB15" s="2"/>
      <c r="BC15" s="2"/>
      <c r="BD15" s="2">
        <f t="shared" si="19"/>
        <v>0</v>
      </c>
      <c r="BE15" s="2"/>
      <c r="BF15" s="2"/>
      <c r="BG15" s="2">
        <f t="shared" si="20"/>
        <v>0</v>
      </c>
      <c r="BH15" s="2"/>
      <c r="BI15" s="2"/>
      <c r="BJ15" s="2">
        <f t="shared" si="21"/>
        <v>0</v>
      </c>
      <c r="BK15" s="2"/>
      <c r="BL15" s="2"/>
      <c r="BM15" s="2">
        <f t="shared" si="22"/>
        <v>0</v>
      </c>
      <c r="BN15" s="2"/>
      <c r="BO15" s="2"/>
      <c r="BP15" s="2">
        <f t="shared" si="23"/>
        <v>0</v>
      </c>
      <c r="BQ15" s="2"/>
      <c r="BR15" s="2"/>
      <c r="BS15" s="2">
        <f t="shared" si="24"/>
        <v>0</v>
      </c>
      <c r="BT15" s="2"/>
      <c r="BU15" s="2"/>
      <c r="BV15" s="2">
        <f t="shared" si="25"/>
        <v>0</v>
      </c>
      <c r="BW15" s="2"/>
      <c r="BX15" s="2"/>
      <c r="BY15" s="2">
        <f t="shared" si="26"/>
        <v>0</v>
      </c>
      <c r="BZ15" s="2"/>
      <c r="CA15" s="2"/>
      <c r="CB15" s="2">
        <f t="shared" si="0"/>
        <v>0</v>
      </c>
      <c r="CC15" s="2"/>
      <c r="CD15" s="2"/>
      <c r="CE15" s="2">
        <f t="shared" si="27"/>
        <v>0</v>
      </c>
      <c r="CF15" s="2"/>
      <c r="CG15" s="2"/>
      <c r="CH15" s="2"/>
      <c r="CI15" s="2"/>
    </row>
    <row r="16" spans="1:87" x14ac:dyDescent="0.25">
      <c r="A16" s="2" t="s">
        <v>3</v>
      </c>
      <c r="B16" s="2" t="s">
        <v>17</v>
      </c>
      <c r="C16" s="6" t="s">
        <v>24</v>
      </c>
      <c r="D16" s="2">
        <f>1975+2000</f>
        <v>3975</v>
      </c>
      <c r="E16" s="2">
        <f t="shared" si="29"/>
        <v>2032</v>
      </c>
      <c r="F16" s="2">
        <f t="shared" si="2"/>
        <v>2054</v>
      </c>
      <c r="G16" s="2"/>
      <c r="H16" s="2">
        <f t="shared" si="3"/>
        <v>1921</v>
      </c>
      <c r="I16" s="2"/>
      <c r="J16" s="2"/>
      <c r="K16" s="2">
        <f t="shared" si="4"/>
        <v>0</v>
      </c>
      <c r="L16" s="2"/>
      <c r="M16" s="2"/>
      <c r="N16" s="2">
        <f t="shared" si="5"/>
        <v>0</v>
      </c>
      <c r="O16" s="2">
        <v>700</v>
      </c>
      <c r="P16" s="2">
        <v>724</v>
      </c>
      <c r="Q16" s="2">
        <f t="shared" si="6"/>
        <v>-24</v>
      </c>
      <c r="R16" s="2"/>
      <c r="S16" s="2"/>
      <c r="T16" s="2">
        <f t="shared" si="7"/>
        <v>-24</v>
      </c>
      <c r="U16" s="2"/>
      <c r="V16" s="2"/>
      <c r="W16" s="2">
        <f t="shared" si="8"/>
        <v>-24</v>
      </c>
      <c r="X16" s="2"/>
      <c r="Y16" s="2"/>
      <c r="Z16" s="2">
        <f t="shared" si="9"/>
        <v>-24</v>
      </c>
      <c r="AA16" s="2"/>
      <c r="AB16" s="2"/>
      <c r="AC16" s="2">
        <f t="shared" si="10"/>
        <v>-24</v>
      </c>
      <c r="AD16" s="2">
        <v>700</v>
      </c>
      <c r="AE16" s="2">
        <v>693</v>
      </c>
      <c r="AF16" s="2">
        <f t="shared" si="11"/>
        <v>-17</v>
      </c>
      <c r="AG16" s="2">
        <v>430</v>
      </c>
      <c r="AH16" s="2">
        <v>436</v>
      </c>
      <c r="AI16" s="2">
        <f t="shared" si="12"/>
        <v>-23</v>
      </c>
      <c r="AJ16" s="2"/>
      <c r="AK16" s="2"/>
      <c r="AL16" s="2">
        <f t="shared" si="13"/>
        <v>-23</v>
      </c>
      <c r="AM16" s="2"/>
      <c r="AN16" s="2"/>
      <c r="AO16" s="2">
        <f t="shared" si="14"/>
        <v>-23</v>
      </c>
      <c r="AP16" s="2">
        <v>122</v>
      </c>
      <c r="AQ16" s="2">
        <v>122</v>
      </c>
      <c r="AR16" s="2">
        <f t="shared" si="15"/>
        <v>-23</v>
      </c>
      <c r="AS16" s="2"/>
      <c r="AT16" s="2"/>
      <c r="AU16" s="2">
        <f t="shared" si="28"/>
        <v>-23</v>
      </c>
      <c r="AV16" s="2"/>
      <c r="AW16" s="2"/>
      <c r="AX16" s="2">
        <f t="shared" si="17"/>
        <v>-23</v>
      </c>
      <c r="AY16" s="2"/>
      <c r="AZ16" s="2"/>
      <c r="BA16" s="2">
        <f t="shared" si="18"/>
        <v>-23</v>
      </c>
      <c r="BB16" s="2"/>
      <c r="BC16" s="2"/>
      <c r="BD16" s="2">
        <f t="shared" si="19"/>
        <v>-23</v>
      </c>
      <c r="BE16" s="2"/>
      <c r="BF16" s="2"/>
      <c r="BG16" s="2">
        <f t="shared" si="20"/>
        <v>-23</v>
      </c>
      <c r="BH16" s="2"/>
      <c r="BI16" s="2"/>
      <c r="BJ16" s="2">
        <f t="shared" si="21"/>
        <v>-23</v>
      </c>
      <c r="BK16" s="2"/>
      <c r="BL16" s="2"/>
      <c r="BM16" s="2">
        <f t="shared" si="22"/>
        <v>-23</v>
      </c>
      <c r="BN16" s="2"/>
      <c r="BO16" s="2"/>
      <c r="BP16" s="2">
        <f t="shared" si="23"/>
        <v>-23</v>
      </c>
      <c r="BQ16" s="2"/>
      <c r="BR16" s="2"/>
      <c r="BS16" s="2">
        <f t="shared" si="24"/>
        <v>-23</v>
      </c>
      <c r="BT16" s="2"/>
      <c r="BU16" s="2"/>
      <c r="BV16" s="2">
        <f t="shared" si="25"/>
        <v>-23</v>
      </c>
      <c r="BW16" s="2"/>
      <c r="BX16" s="2"/>
      <c r="BY16" s="2">
        <f t="shared" si="26"/>
        <v>-23</v>
      </c>
      <c r="BZ16" s="2"/>
      <c r="CA16" s="2"/>
      <c r="CB16" s="2">
        <f t="shared" si="0"/>
        <v>-23</v>
      </c>
      <c r="CC16" s="2">
        <v>80</v>
      </c>
      <c r="CD16" s="2">
        <v>79</v>
      </c>
      <c r="CE16" s="2">
        <f t="shared" si="27"/>
        <v>-22</v>
      </c>
      <c r="CF16" s="2"/>
      <c r="CG16" s="2"/>
      <c r="CH16" s="2"/>
      <c r="CI16" s="2"/>
    </row>
    <row r="17" spans="1:87" x14ac:dyDescent="0.25">
      <c r="A17" s="2" t="s">
        <v>3</v>
      </c>
      <c r="B17" s="2" t="s">
        <v>18</v>
      </c>
      <c r="C17" s="6" t="s">
        <v>25</v>
      </c>
      <c r="D17" s="2">
        <f>1691+2000</f>
        <v>3691</v>
      </c>
      <c r="E17" s="2">
        <f t="shared" si="29"/>
        <v>3640</v>
      </c>
      <c r="F17" s="2">
        <f t="shared" si="2"/>
        <v>3691</v>
      </c>
      <c r="G17" s="2"/>
      <c r="H17" s="2">
        <f t="shared" si="3"/>
        <v>0</v>
      </c>
      <c r="I17" s="2"/>
      <c r="J17" s="2"/>
      <c r="K17" s="2">
        <f t="shared" si="4"/>
        <v>0</v>
      </c>
      <c r="L17" s="2"/>
      <c r="M17" s="2"/>
      <c r="N17" s="2">
        <f t="shared" si="5"/>
        <v>0</v>
      </c>
      <c r="O17" s="2"/>
      <c r="P17" s="2"/>
      <c r="Q17" s="2">
        <f t="shared" si="6"/>
        <v>0</v>
      </c>
      <c r="R17" s="2">
        <v>400</v>
      </c>
      <c r="S17" s="2">
        <v>430</v>
      </c>
      <c r="T17" s="2">
        <f t="shared" si="7"/>
        <v>-30</v>
      </c>
      <c r="U17" s="2">
        <v>200</v>
      </c>
      <c r="V17" s="2">
        <v>210</v>
      </c>
      <c r="W17" s="2">
        <f t="shared" si="8"/>
        <v>-40</v>
      </c>
      <c r="X17" s="2"/>
      <c r="Y17" s="2"/>
      <c r="Z17" s="2">
        <f t="shared" si="9"/>
        <v>-40</v>
      </c>
      <c r="AA17" s="2"/>
      <c r="AB17" s="2"/>
      <c r="AC17" s="2">
        <f t="shared" si="10"/>
        <v>-40</v>
      </c>
      <c r="AD17" s="2">
        <v>200</v>
      </c>
      <c r="AE17" s="2">
        <v>198</v>
      </c>
      <c r="AF17" s="2">
        <f t="shared" si="11"/>
        <v>-38</v>
      </c>
      <c r="AG17" s="2">
        <v>700</v>
      </c>
      <c r="AH17" s="2">
        <v>702</v>
      </c>
      <c r="AI17" s="2">
        <f t="shared" si="12"/>
        <v>-40</v>
      </c>
      <c r="AJ17" s="2"/>
      <c r="AK17" s="2"/>
      <c r="AL17" s="2">
        <f t="shared" si="13"/>
        <v>-40</v>
      </c>
      <c r="AM17" s="2"/>
      <c r="AN17" s="2"/>
      <c r="AO17" s="2">
        <f t="shared" si="14"/>
        <v>-40</v>
      </c>
      <c r="AP17" s="2"/>
      <c r="AQ17" s="2"/>
      <c r="AR17" s="2">
        <f t="shared" si="15"/>
        <v>-40</v>
      </c>
      <c r="AS17" s="2"/>
      <c r="AT17" s="2"/>
      <c r="AU17" s="2">
        <f t="shared" si="28"/>
        <v>-40</v>
      </c>
      <c r="AV17" s="2"/>
      <c r="AW17" s="2"/>
      <c r="AX17" s="2">
        <f t="shared" si="17"/>
        <v>-40</v>
      </c>
      <c r="AY17" s="2">
        <v>150</v>
      </c>
      <c r="AZ17" s="2">
        <v>150</v>
      </c>
      <c r="BA17" s="2">
        <f t="shared" si="18"/>
        <v>-40</v>
      </c>
      <c r="BB17" s="2"/>
      <c r="BC17" s="2"/>
      <c r="BD17" s="2">
        <f t="shared" si="19"/>
        <v>-40</v>
      </c>
      <c r="BE17" s="2"/>
      <c r="BF17" s="2"/>
      <c r="BG17" s="2">
        <f t="shared" si="20"/>
        <v>-40</v>
      </c>
      <c r="BH17" s="2">
        <v>475</v>
      </c>
      <c r="BI17" s="2">
        <v>478</v>
      </c>
      <c r="BJ17" s="2">
        <f t="shared" si="21"/>
        <v>-43</v>
      </c>
      <c r="BK17" s="2">
        <v>500</v>
      </c>
      <c r="BL17" s="2">
        <v>508</v>
      </c>
      <c r="BM17" s="2">
        <f t="shared" si="22"/>
        <v>-51</v>
      </c>
      <c r="BN17" s="2"/>
      <c r="BO17" s="2"/>
      <c r="BP17" s="2">
        <f t="shared" si="23"/>
        <v>-51</v>
      </c>
      <c r="BQ17" s="2"/>
      <c r="BR17" s="2"/>
      <c r="BS17" s="2">
        <f t="shared" si="24"/>
        <v>-51</v>
      </c>
      <c r="BT17" s="2">
        <v>1015</v>
      </c>
      <c r="BU17" s="2">
        <v>1015</v>
      </c>
      <c r="BV17" s="2">
        <f t="shared" si="25"/>
        <v>-51</v>
      </c>
      <c r="BW17" s="2"/>
      <c r="BX17" s="2"/>
      <c r="BY17" s="2">
        <f t="shared" si="26"/>
        <v>-51</v>
      </c>
      <c r="BZ17" s="2"/>
      <c r="CA17" s="2"/>
      <c r="CB17" s="2">
        <f t="shared" si="0"/>
        <v>-51</v>
      </c>
      <c r="CC17" s="2"/>
      <c r="CD17" s="2"/>
      <c r="CE17" s="2">
        <f t="shared" si="27"/>
        <v>-51</v>
      </c>
      <c r="CF17" s="2"/>
      <c r="CG17" s="2"/>
      <c r="CH17" s="2"/>
      <c r="CI17" s="2"/>
    </row>
    <row r="18" spans="1:87" x14ac:dyDescent="0.25">
      <c r="A18" s="2" t="s">
        <v>4</v>
      </c>
      <c r="B18" s="2" t="s">
        <v>19</v>
      </c>
      <c r="C18" s="6" t="s">
        <v>26</v>
      </c>
      <c r="D18" s="2">
        <f>1362+2000</f>
        <v>3362</v>
      </c>
      <c r="E18" s="2">
        <f t="shared" si="29"/>
        <v>2220</v>
      </c>
      <c r="F18" s="2">
        <f t="shared" si="2"/>
        <v>2242</v>
      </c>
      <c r="G18" s="2"/>
      <c r="H18" s="2">
        <f t="shared" si="3"/>
        <v>1120</v>
      </c>
      <c r="I18" s="2"/>
      <c r="J18" s="2"/>
      <c r="K18" s="2">
        <f t="shared" si="4"/>
        <v>0</v>
      </c>
      <c r="L18" s="2"/>
      <c r="M18" s="2"/>
      <c r="N18" s="2">
        <f t="shared" si="5"/>
        <v>0</v>
      </c>
      <c r="O18" s="2"/>
      <c r="P18" s="2"/>
      <c r="Q18" s="2">
        <f t="shared" si="6"/>
        <v>0</v>
      </c>
      <c r="R18" s="2"/>
      <c r="S18" s="2"/>
      <c r="T18" s="2">
        <f t="shared" si="7"/>
        <v>0</v>
      </c>
      <c r="U18" s="2"/>
      <c r="V18" s="2"/>
      <c r="W18" s="2">
        <f t="shared" si="8"/>
        <v>0</v>
      </c>
      <c r="X18" s="2"/>
      <c r="Y18" s="2"/>
      <c r="Z18" s="2">
        <f t="shared" si="9"/>
        <v>0</v>
      </c>
      <c r="AA18" s="2"/>
      <c r="AB18" s="2"/>
      <c r="AC18" s="2">
        <f t="shared" si="10"/>
        <v>0</v>
      </c>
      <c r="AD18" s="2"/>
      <c r="AE18" s="2"/>
      <c r="AF18" s="2">
        <f t="shared" si="11"/>
        <v>0</v>
      </c>
      <c r="AG18" s="2"/>
      <c r="AH18" s="2"/>
      <c r="AI18" s="2">
        <f t="shared" si="12"/>
        <v>0</v>
      </c>
      <c r="AJ18" s="2"/>
      <c r="AK18" s="2"/>
      <c r="AL18" s="2">
        <f t="shared" si="13"/>
        <v>0</v>
      </c>
      <c r="AM18" s="2">
        <v>520</v>
      </c>
      <c r="AN18" s="2">
        <v>526</v>
      </c>
      <c r="AO18" s="2">
        <f t="shared" si="14"/>
        <v>-6</v>
      </c>
      <c r="AP18" s="2">
        <v>300</v>
      </c>
      <c r="AQ18" s="2">
        <v>303</v>
      </c>
      <c r="AR18" s="2">
        <f t="shared" si="15"/>
        <v>-9</v>
      </c>
      <c r="AS18" s="2">
        <v>420</v>
      </c>
      <c r="AT18" s="2">
        <v>427</v>
      </c>
      <c r="AU18" s="2">
        <f t="shared" si="28"/>
        <v>-16</v>
      </c>
      <c r="AV18" s="2"/>
      <c r="AW18" s="2"/>
      <c r="AX18" s="2">
        <f t="shared" si="17"/>
        <v>-16</v>
      </c>
      <c r="AY18" s="2"/>
      <c r="AZ18" s="2"/>
      <c r="BA18" s="2">
        <f t="shared" si="18"/>
        <v>-16</v>
      </c>
      <c r="BB18" s="2"/>
      <c r="BC18" s="2"/>
      <c r="BD18" s="2">
        <f t="shared" si="19"/>
        <v>-16</v>
      </c>
      <c r="BE18" s="2"/>
      <c r="BF18" s="2"/>
      <c r="BG18" s="2">
        <f t="shared" si="20"/>
        <v>-16</v>
      </c>
      <c r="BH18" s="2"/>
      <c r="BI18" s="2"/>
      <c r="BJ18" s="2">
        <f t="shared" si="21"/>
        <v>-16</v>
      </c>
      <c r="BK18" s="2"/>
      <c r="BL18" s="2"/>
      <c r="BM18" s="2">
        <f t="shared" si="22"/>
        <v>-16</v>
      </c>
      <c r="BN18" s="2"/>
      <c r="BO18" s="2"/>
      <c r="BP18" s="2">
        <f t="shared" si="23"/>
        <v>-16</v>
      </c>
      <c r="BQ18" s="2"/>
      <c r="BR18" s="2"/>
      <c r="BS18" s="2">
        <f t="shared" si="24"/>
        <v>-16</v>
      </c>
      <c r="BT18" s="2">
        <v>430</v>
      </c>
      <c r="BU18" s="2">
        <v>431</v>
      </c>
      <c r="BV18" s="2">
        <f t="shared" si="25"/>
        <v>-17</v>
      </c>
      <c r="BW18" s="2"/>
      <c r="BX18" s="2"/>
      <c r="BY18" s="2">
        <f t="shared" si="26"/>
        <v>-17</v>
      </c>
      <c r="BZ18" s="2">
        <v>550</v>
      </c>
      <c r="CA18" s="2">
        <v>555</v>
      </c>
      <c r="CB18" s="2">
        <f t="shared" si="0"/>
        <v>-22</v>
      </c>
      <c r="CC18" s="2"/>
      <c r="CD18" s="2"/>
      <c r="CE18" s="2">
        <f t="shared" si="27"/>
        <v>-22</v>
      </c>
      <c r="CF18" s="2"/>
      <c r="CG18" s="2"/>
      <c r="CH18" s="2"/>
      <c r="CI18" s="2"/>
    </row>
    <row r="19" spans="1:87" x14ac:dyDescent="0.25">
      <c r="A19" s="2" t="s">
        <v>3</v>
      </c>
      <c r="B19" s="2" t="s">
        <v>20</v>
      </c>
      <c r="C19" s="6" t="s">
        <v>27</v>
      </c>
      <c r="D19" s="2">
        <f>1818+2000</f>
        <v>3818</v>
      </c>
      <c r="E19" s="2">
        <f t="shared" si="29"/>
        <v>2288</v>
      </c>
      <c r="F19" s="2">
        <f>J19+M19+P19+V19+Y19+AE19+AH19+AK19+AN19+AQ19+AT19+AW19+AZ19+BC19+BF19+BL19++BI19+BO19+BR19+BU19+BX19+CA19+CD19+S19+AB19</f>
        <v>2260</v>
      </c>
      <c r="G19" s="2"/>
      <c r="H19" s="2">
        <f t="shared" si="3"/>
        <v>1558</v>
      </c>
      <c r="I19" s="2"/>
      <c r="J19" s="2"/>
      <c r="K19" s="2">
        <f t="shared" si="4"/>
        <v>0</v>
      </c>
      <c r="L19" s="2"/>
      <c r="M19" s="2"/>
      <c r="N19" s="2">
        <f t="shared" si="5"/>
        <v>0</v>
      </c>
      <c r="O19" s="2"/>
      <c r="P19" s="2"/>
      <c r="Q19" s="2">
        <f t="shared" si="6"/>
        <v>0</v>
      </c>
      <c r="R19" s="2">
        <v>700</v>
      </c>
      <c r="S19" s="2">
        <v>690</v>
      </c>
      <c r="T19" s="2">
        <f t="shared" si="7"/>
        <v>10</v>
      </c>
      <c r="U19" s="2">
        <v>550</v>
      </c>
      <c r="V19" s="2">
        <v>540</v>
      </c>
      <c r="W19" s="2">
        <f t="shared" si="8"/>
        <v>20</v>
      </c>
      <c r="X19" s="2">
        <v>588</v>
      </c>
      <c r="Y19" s="2">
        <v>588</v>
      </c>
      <c r="Z19" s="2">
        <f t="shared" si="9"/>
        <v>20</v>
      </c>
      <c r="AA19" s="2"/>
      <c r="AB19" s="2"/>
      <c r="AC19" s="2">
        <f t="shared" si="10"/>
        <v>20</v>
      </c>
      <c r="AD19" s="2"/>
      <c r="AE19" s="2"/>
      <c r="AF19" s="2">
        <f t="shared" si="11"/>
        <v>20</v>
      </c>
      <c r="AG19" s="2"/>
      <c r="AH19" s="2"/>
      <c r="AI19" s="2">
        <f t="shared" si="12"/>
        <v>20</v>
      </c>
      <c r="AJ19" s="2"/>
      <c r="AK19" s="2"/>
      <c r="AL19" s="2">
        <f t="shared" si="13"/>
        <v>20</v>
      </c>
      <c r="AM19" s="2"/>
      <c r="AN19" s="2"/>
      <c r="AO19" s="2">
        <f t="shared" si="14"/>
        <v>20</v>
      </c>
      <c r="AP19" s="2"/>
      <c r="AQ19" s="2"/>
      <c r="AR19" s="2">
        <f t="shared" si="15"/>
        <v>20</v>
      </c>
      <c r="AS19" s="2"/>
      <c r="AT19" s="2"/>
      <c r="AU19" s="2">
        <f t="shared" si="28"/>
        <v>20</v>
      </c>
      <c r="AV19" s="2"/>
      <c r="AW19" s="2"/>
      <c r="AX19" s="2">
        <f>AU19+AV19-AW19</f>
        <v>20</v>
      </c>
      <c r="AY19" s="2"/>
      <c r="AZ19" s="2"/>
      <c r="BA19" s="2">
        <f t="shared" si="18"/>
        <v>20</v>
      </c>
      <c r="BB19" s="2"/>
      <c r="BC19" s="2"/>
      <c r="BD19" s="2">
        <f t="shared" si="19"/>
        <v>20</v>
      </c>
      <c r="BE19" s="2"/>
      <c r="BF19" s="2"/>
      <c r="BG19" s="2">
        <f t="shared" si="20"/>
        <v>20</v>
      </c>
      <c r="BH19" s="2">
        <v>450</v>
      </c>
      <c r="BI19" s="2">
        <v>442</v>
      </c>
      <c r="BJ19" s="2">
        <f t="shared" si="21"/>
        <v>28</v>
      </c>
      <c r="BK19" s="2"/>
      <c r="BL19" s="2"/>
      <c r="BM19" s="2">
        <f t="shared" si="22"/>
        <v>28</v>
      </c>
      <c r="BN19" s="2"/>
      <c r="BO19" s="2"/>
      <c r="BP19" s="2">
        <f t="shared" si="23"/>
        <v>28</v>
      </c>
      <c r="BQ19" s="2"/>
      <c r="BR19" s="2"/>
      <c r="BS19" s="2">
        <f t="shared" si="24"/>
        <v>28</v>
      </c>
      <c r="BT19" s="2"/>
      <c r="BU19" s="2"/>
      <c r="BV19" s="2">
        <f t="shared" si="25"/>
        <v>28</v>
      </c>
      <c r="BW19" s="2"/>
      <c r="BX19" s="2"/>
      <c r="BY19" s="2">
        <f t="shared" si="26"/>
        <v>28</v>
      </c>
      <c r="BZ19" s="2"/>
      <c r="CA19" s="2"/>
      <c r="CB19" s="2">
        <f t="shared" si="0"/>
        <v>28</v>
      </c>
      <c r="CC19" s="2"/>
      <c r="CD19" s="2"/>
      <c r="CE19" s="2">
        <f t="shared" si="27"/>
        <v>28</v>
      </c>
      <c r="CF19" s="2"/>
      <c r="CG19" s="2"/>
      <c r="CH19" s="2"/>
      <c r="CI19" s="2"/>
    </row>
    <row r="20" spans="1:87" x14ac:dyDescent="0.25">
      <c r="A20" s="2" t="s">
        <v>52</v>
      </c>
      <c r="B20" s="2" t="s">
        <v>53</v>
      </c>
      <c r="C20" s="6">
        <v>600341</v>
      </c>
      <c r="D20" s="2"/>
      <c r="E20" s="2">
        <f t="shared" si="29"/>
        <v>0</v>
      </c>
      <c r="F20" s="2">
        <f>J20+M20+P20+V20+Y20+AE20+AH20+AK20+AN20+AQ20+AT20+AW20+AZ20+BC20+BF20+BL20++BI20+BO20+BR20+BU20+BX20+CA20+CD20+S20+AB20</f>
        <v>0</v>
      </c>
      <c r="G20" s="2"/>
      <c r="H20" s="2">
        <f t="shared" si="3"/>
        <v>0</v>
      </c>
      <c r="I20" s="2"/>
      <c r="J20" s="2"/>
      <c r="K20" s="2">
        <f t="shared" si="4"/>
        <v>0</v>
      </c>
      <c r="L20" s="2"/>
      <c r="M20" s="2"/>
      <c r="N20" s="2">
        <f t="shared" si="5"/>
        <v>0</v>
      </c>
      <c r="O20" s="2"/>
      <c r="P20" s="2"/>
      <c r="Q20" s="2">
        <f t="shared" si="6"/>
        <v>0</v>
      </c>
      <c r="R20" s="2"/>
      <c r="S20" s="2"/>
      <c r="T20" s="2">
        <f t="shared" si="7"/>
        <v>0</v>
      </c>
      <c r="U20" s="2"/>
      <c r="V20" s="2"/>
      <c r="W20" s="2">
        <f t="shared" si="8"/>
        <v>0</v>
      </c>
      <c r="X20" s="2"/>
      <c r="Y20" s="2"/>
      <c r="Z20" s="2">
        <f t="shared" si="9"/>
        <v>0</v>
      </c>
      <c r="AA20" s="2"/>
      <c r="AB20" s="2"/>
      <c r="AC20" s="2">
        <f t="shared" si="10"/>
        <v>0</v>
      </c>
      <c r="AD20" s="2"/>
      <c r="AE20" s="2"/>
      <c r="AF20" s="2">
        <f t="shared" si="11"/>
        <v>0</v>
      </c>
      <c r="AG20" s="2"/>
      <c r="AH20" s="2"/>
      <c r="AI20" s="2">
        <f t="shared" si="12"/>
        <v>0</v>
      </c>
      <c r="AJ20" s="2"/>
      <c r="AK20" s="2"/>
      <c r="AL20" s="2">
        <f t="shared" si="13"/>
        <v>0</v>
      </c>
      <c r="AM20" s="2"/>
      <c r="AN20" s="2"/>
      <c r="AO20" s="2">
        <f t="shared" si="14"/>
        <v>0</v>
      </c>
      <c r="AP20" s="2"/>
      <c r="AQ20" s="2"/>
      <c r="AR20" s="2">
        <f t="shared" si="15"/>
        <v>0</v>
      </c>
      <c r="AS20" s="2"/>
      <c r="AT20" s="2"/>
      <c r="AU20" s="2">
        <f t="shared" si="28"/>
        <v>0</v>
      </c>
      <c r="AV20" s="2"/>
      <c r="AW20" s="2"/>
      <c r="AX20" s="2">
        <f>AU20+AV20-AW20</f>
        <v>0</v>
      </c>
      <c r="AY20" s="2"/>
      <c r="AZ20" s="2"/>
      <c r="BA20" s="2">
        <f t="shared" si="18"/>
        <v>0</v>
      </c>
      <c r="BB20" s="2"/>
      <c r="BC20" s="2"/>
      <c r="BD20" s="2">
        <f t="shared" si="19"/>
        <v>0</v>
      </c>
      <c r="BE20" s="2"/>
      <c r="BF20" s="2"/>
      <c r="BG20" s="2">
        <f t="shared" si="20"/>
        <v>0</v>
      </c>
      <c r="BH20" s="2"/>
      <c r="BI20" s="2"/>
      <c r="BJ20" s="2">
        <f t="shared" si="21"/>
        <v>0</v>
      </c>
      <c r="BK20" s="2"/>
      <c r="BL20" s="2"/>
      <c r="BM20" s="2">
        <f t="shared" si="22"/>
        <v>0</v>
      </c>
      <c r="BN20" s="2"/>
      <c r="BO20" s="2"/>
      <c r="BP20" s="2">
        <f t="shared" si="23"/>
        <v>0</v>
      </c>
      <c r="BQ20" s="2"/>
      <c r="BR20" s="2"/>
      <c r="BS20" s="2">
        <f t="shared" si="24"/>
        <v>0</v>
      </c>
      <c r="BT20" s="2"/>
      <c r="BU20" s="2"/>
      <c r="BV20" s="2">
        <f t="shared" si="25"/>
        <v>0</v>
      </c>
      <c r="BW20" s="2"/>
      <c r="BX20" s="2"/>
      <c r="BY20" s="2">
        <f t="shared" si="26"/>
        <v>0</v>
      </c>
      <c r="BZ20" s="2"/>
      <c r="CA20" s="2"/>
      <c r="CB20" s="2">
        <f t="shared" si="0"/>
        <v>0</v>
      </c>
      <c r="CC20" s="2"/>
      <c r="CD20" s="2"/>
      <c r="CE20" s="2">
        <f t="shared" si="27"/>
        <v>0</v>
      </c>
      <c r="CF20" s="2"/>
      <c r="CG20" s="2"/>
      <c r="CH20" s="2"/>
      <c r="CI20" s="2"/>
    </row>
    <row r="21" spans="1:87" x14ac:dyDescent="0.25">
      <c r="A21" s="2" t="s">
        <v>60</v>
      </c>
      <c r="B21" s="2" t="s">
        <v>61</v>
      </c>
      <c r="C21" s="6">
        <v>602240</v>
      </c>
      <c r="D21" s="2">
        <v>15000</v>
      </c>
      <c r="E21" s="2">
        <f t="shared" si="29"/>
        <v>8775</v>
      </c>
      <c r="F21" s="2">
        <f>J21+M21+P21+V21+Y21+AE21+AH21+AK21+AN21+AQ21+AT21+AW21+AZ21+BC21+BF21+BL21++BI21+BO21+BR21+BU21+BX21+CA21+CD21+S21+AB21</f>
        <v>8805</v>
      </c>
      <c r="G21" s="2"/>
      <c r="H21" s="2">
        <f t="shared" si="3"/>
        <v>6195</v>
      </c>
      <c r="I21" s="2"/>
      <c r="J21" s="2"/>
      <c r="K21" s="2">
        <f t="shared" si="4"/>
        <v>0</v>
      </c>
      <c r="L21" s="2"/>
      <c r="M21" s="2"/>
      <c r="N21" s="2">
        <f t="shared" si="5"/>
        <v>0</v>
      </c>
      <c r="O21" s="2"/>
      <c r="P21" s="2"/>
      <c r="Q21" s="2">
        <f t="shared" ref="Q21:Q25" si="30">N21+O21-P21</f>
        <v>0</v>
      </c>
      <c r="R21" s="2"/>
      <c r="S21" s="2"/>
      <c r="T21" s="2">
        <f t="shared" ref="T21:T25" si="31">Q21+R21-S21</f>
        <v>0</v>
      </c>
      <c r="U21" s="2"/>
      <c r="V21" s="2"/>
      <c r="W21" s="2">
        <f t="shared" ref="W21:W25" si="32">T21+U21-V21</f>
        <v>0</v>
      </c>
      <c r="X21" s="2"/>
      <c r="Y21" s="2"/>
      <c r="Z21" s="2">
        <f t="shared" ref="Z21:Z25" si="33">W21+X21-Y21</f>
        <v>0</v>
      </c>
      <c r="AA21" s="2"/>
      <c r="AB21" s="2"/>
      <c r="AC21" s="2">
        <f t="shared" ref="AC21:AC25" si="34">Z21+AA21-AB21</f>
        <v>0</v>
      </c>
      <c r="AD21" s="2"/>
      <c r="AE21" s="2"/>
      <c r="AF21" s="2">
        <f t="shared" ref="AF21:AF25" si="35">AC21+AD21-AE21</f>
        <v>0</v>
      </c>
      <c r="AG21" s="2"/>
      <c r="AH21" s="2"/>
      <c r="AI21" s="2">
        <f t="shared" ref="AI21:AI25" si="36">AF21+AG21-AH21</f>
        <v>0</v>
      </c>
      <c r="AJ21" s="2"/>
      <c r="AK21" s="2"/>
      <c r="AL21" s="2">
        <f t="shared" ref="AL21:AL25" si="37">AI21+AJ21-AK21</f>
        <v>0</v>
      </c>
      <c r="AM21" s="2"/>
      <c r="AN21" s="2"/>
      <c r="AO21" s="2">
        <f t="shared" ref="AO21:AO25" si="38">AL21+AM21-AN21</f>
        <v>0</v>
      </c>
      <c r="AP21" s="2"/>
      <c r="AQ21" s="2"/>
      <c r="AR21" s="2">
        <f t="shared" ref="AR21:AR25" si="39">AO21+AP21-AQ21</f>
        <v>0</v>
      </c>
      <c r="AS21" s="2"/>
      <c r="AT21" s="2"/>
      <c r="AU21" s="2">
        <f t="shared" ref="AU21:AU25" si="40">AR21+AS21-AT21</f>
        <v>0</v>
      </c>
      <c r="AV21" s="2"/>
      <c r="AW21" s="2"/>
      <c r="AX21" s="2">
        <f t="shared" ref="AX21:AX25" si="41">AU21+AV21-AW21</f>
        <v>0</v>
      </c>
      <c r="AY21" s="2"/>
      <c r="AZ21" s="2"/>
      <c r="BA21" s="2">
        <f t="shared" ref="BA21:BA25" si="42">AX21+AY21-AZ21</f>
        <v>0</v>
      </c>
      <c r="BB21" s="2">
        <v>700</v>
      </c>
      <c r="BC21" s="2">
        <v>705</v>
      </c>
      <c r="BD21" s="2">
        <f t="shared" ref="BD21:BD25" si="43">BA21+BB21-BC21</f>
        <v>-5</v>
      </c>
      <c r="BE21" s="2"/>
      <c r="BF21" s="2"/>
      <c r="BG21" s="2">
        <f t="shared" ref="BG21:BG25" si="44">BD21+BE21-BF21</f>
        <v>-5</v>
      </c>
      <c r="BH21" s="2"/>
      <c r="BI21" s="2"/>
      <c r="BJ21" s="2">
        <f t="shared" ref="BJ21:BJ25" si="45">BG21+BH21-BI21</f>
        <v>-5</v>
      </c>
      <c r="BK21" s="2">
        <v>1875</v>
      </c>
      <c r="BL21" s="2">
        <v>1875</v>
      </c>
      <c r="BM21" s="2">
        <f t="shared" ref="BM21:BM25" si="46">BJ21+BK21-BL21</f>
        <v>-5</v>
      </c>
      <c r="BN21" s="2"/>
      <c r="BO21" s="2"/>
      <c r="BP21" s="2">
        <f t="shared" ref="BP21:BP25" si="47">BM21+BN21-BO21</f>
        <v>-5</v>
      </c>
      <c r="BQ21" s="2"/>
      <c r="BR21" s="2"/>
      <c r="BS21" s="2">
        <f t="shared" ref="BS21:BS25" si="48">BP21+BQ21-BR21</f>
        <v>-5</v>
      </c>
      <c r="BT21" s="2"/>
      <c r="BU21" s="2"/>
      <c r="BV21" s="2">
        <f t="shared" ref="BV21:BV25" si="49">BS21+BT21-BU21</f>
        <v>-5</v>
      </c>
      <c r="BW21" s="2">
        <v>3050</v>
      </c>
      <c r="BX21" s="2">
        <v>3075</v>
      </c>
      <c r="BY21" s="2">
        <f t="shared" ref="BY21:BY25" si="50">BV21+BW21-BX21</f>
        <v>-30</v>
      </c>
      <c r="BZ21" s="2"/>
      <c r="CA21" s="2"/>
      <c r="CB21" s="2">
        <f t="shared" ref="CB21:CB25" si="51">BY21+BZ21-CA21</f>
        <v>-30</v>
      </c>
      <c r="CC21" s="2">
        <v>3150</v>
      </c>
      <c r="CD21" s="2">
        <v>3150</v>
      </c>
      <c r="CE21" s="2">
        <f t="shared" ref="CE21:CE25" si="52">CB21+CC21-CD21</f>
        <v>-30</v>
      </c>
      <c r="CF21" s="2"/>
      <c r="CG21" s="2"/>
      <c r="CH21" s="2"/>
      <c r="CI21" s="2"/>
    </row>
    <row r="22" spans="1:87" x14ac:dyDescent="0.25">
      <c r="A22" s="2" t="s">
        <v>63</v>
      </c>
      <c r="B22" s="1" t="s">
        <v>62</v>
      </c>
      <c r="C22" s="6">
        <v>601351</v>
      </c>
      <c r="D22" s="2"/>
      <c r="E22" s="2">
        <f t="shared" si="29"/>
        <v>0</v>
      </c>
      <c r="F22" s="2">
        <f>J22+M22+P22+V22+Y22+AE22+AH22+AK22+AN22+AQ22+AT22+AW22+AZ22+BC22+BF22+BL22++BI22+BO22+BR22+BU22+BX22+CA22+CD22+S22+AB22</f>
        <v>0</v>
      </c>
      <c r="G22" s="2"/>
      <c r="H22" s="2">
        <f t="shared" si="3"/>
        <v>0</v>
      </c>
      <c r="I22" s="2"/>
      <c r="J22" s="2"/>
      <c r="K22" s="2">
        <f t="shared" si="4"/>
        <v>0</v>
      </c>
      <c r="L22" s="2"/>
      <c r="M22" s="2"/>
      <c r="N22" s="2">
        <f t="shared" si="5"/>
        <v>0</v>
      </c>
      <c r="O22" s="2"/>
      <c r="P22" s="2"/>
      <c r="Q22" s="2">
        <f t="shared" si="30"/>
        <v>0</v>
      </c>
      <c r="R22" s="2"/>
      <c r="S22" s="2"/>
      <c r="T22" s="2">
        <f t="shared" si="31"/>
        <v>0</v>
      </c>
      <c r="U22" s="2"/>
      <c r="V22" s="2"/>
      <c r="W22" s="2">
        <f t="shared" si="32"/>
        <v>0</v>
      </c>
      <c r="X22" s="2"/>
      <c r="Y22" s="2"/>
      <c r="Z22" s="2">
        <f t="shared" si="33"/>
        <v>0</v>
      </c>
      <c r="AA22" s="2"/>
      <c r="AB22" s="2"/>
      <c r="AC22" s="2">
        <f t="shared" si="34"/>
        <v>0</v>
      </c>
      <c r="AD22" s="2"/>
      <c r="AE22" s="2"/>
      <c r="AF22" s="2">
        <f t="shared" si="35"/>
        <v>0</v>
      </c>
      <c r="AG22" s="2"/>
      <c r="AH22" s="2"/>
      <c r="AI22" s="2">
        <f t="shared" si="36"/>
        <v>0</v>
      </c>
      <c r="AJ22" s="2"/>
      <c r="AK22" s="2"/>
      <c r="AL22" s="2">
        <f t="shared" si="37"/>
        <v>0</v>
      </c>
      <c r="AM22" s="2"/>
      <c r="AN22" s="2"/>
      <c r="AO22" s="2">
        <f t="shared" si="38"/>
        <v>0</v>
      </c>
      <c r="AP22" s="2"/>
      <c r="AQ22" s="2"/>
      <c r="AR22" s="2">
        <f t="shared" si="39"/>
        <v>0</v>
      </c>
      <c r="AS22" s="2"/>
      <c r="AT22" s="2"/>
      <c r="AU22" s="2">
        <f t="shared" si="40"/>
        <v>0</v>
      </c>
      <c r="AV22" s="2"/>
      <c r="AW22" s="2"/>
      <c r="AX22" s="2">
        <f t="shared" si="41"/>
        <v>0</v>
      </c>
      <c r="AY22" s="2"/>
      <c r="AZ22" s="2"/>
      <c r="BA22" s="2">
        <f t="shared" si="42"/>
        <v>0</v>
      </c>
      <c r="BB22" s="2"/>
      <c r="BC22" s="2"/>
      <c r="BD22" s="2">
        <f t="shared" si="43"/>
        <v>0</v>
      </c>
      <c r="BE22" s="2"/>
      <c r="BF22" s="2"/>
      <c r="BG22" s="2">
        <f t="shared" si="44"/>
        <v>0</v>
      </c>
      <c r="BH22" s="2"/>
      <c r="BI22" s="2"/>
      <c r="BJ22" s="2">
        <f t="shared" si="45"/>
        <v>0</v>
      </c>
      <c r="BK22" s="2"/>
      <c r="BL22" s="2"/>
      <c r="BM22" s="2">
        <f t="shared" si="46"/>
        <v>0</v>
      </c>
      <c r="BN22" s="2"/>
      <c r="BO22" s="2"/>
      <c r="BP22" s="2">
        <f t="shared" si="47"/>
        <v>0</v>
      </c>
      <c r="BQ22" s="2"/>
      <c r="BR22" s="2"/>
      <c r="BS22" s="2">
        <f t="shared" si="48"/>
        <v>0</v>
      </c>
      <c r="BT22" s="2"/>
      <c r="BU22" s="2"/>
      <c r="BV22" s="2">
        <f t="shared" si="49"/>
        <v>0</v>
      </c>
      <c r="BW22" s="2"/>
      <c r="BX22" s="2"/>
      <c r="BY22" s="2">
        <f t="shared" si="50"/>
        <v>0</v>
      </c>
      <c r="BZ22" s="2"/>
      <c r="CA22" s="2"/>
      <c r="CB22" s="2">
        <f t="shared" si="51"/>
        <v>0</v>
      </c>
      <c r="CC22" s="2"/>
      <c r="CD22" s="2"/>
      <c r="CE22" s="2">
        <f t="shared" si="52"/>
        <v>0</v>
      </c>
      <c r="CF22" s="2"/>
      <c r="CG22" s="2"/>
      <c r="CH22" s="2"/>
      <c r="CI22" s="2"/>
    </row>
    <row r="23" spans="1:87" x14ac:dyDescent="0.25">
      <c r="A23" s="2"/>
      <c r="B23" s="2"/>
      <c r="C23" s="6"/>
      <c r="D23" s="2"/>
      <c r="E23" s="2"/>
      <c r="F23" s="2">
        <f t="shared" ref="F23:F24" si="53">J23+M23+P23+V23+Y23+AE23+AH23+AK23+AN23+AQ23+AT23+AW23+AZ23+BC23+BF23+BL23++BI23+BO23+BR23+BU23+BX23+CA23+CD23+S23+AB23</f>
        <v>0</v>
      </c>
      <c r="G23" s="2"/>
      <c r="H23" s="2">
        <f t="shared" si="3"/>
        <v>0</v>
      </c>
      <c r="I23" s="2"/>
      <c r="J23" s="2"/>
      <c r="K23" s="2">
        <f t="shared" si="4"/>
        <v>0</v>
      </c>
      <c r="L23" s="2"/>
      <c r="M23" s="2"/>
      <c r="N23" s="2">
        <f t="shared" si="5"/>
        <v>0</v>
      </c>
      <c r="O23" s="2"/>
      <c r="P23" s="2"/>
      <c r="Q23" s="2">
        <f t="shared" si="30"/>
        <v>0</v>
      </c>
      <c r="R23" s="2"/>
      <c r="S23" s="2"/>
      <c r="T23" s="2">
        <f t="shared" si="31"/>
        <v>0</v>
      </c>
      <c r="U23" s="2"/>
      <c r="V23" s="2"/>
      <c r="W23" s="2">
        <f t="shared" si="32"/>
        <v>0</v>
      </c>
      <c r="X23" s="2"/>
      <c r="Y23" s="2"/>
      <c r="Z23" s="2">
        <f t="shared" si="33"/>
        <v>0</v>
      </c>
      <c r="AA23" s="2"/>
      <c r="AB23" s="2"/>
      <c r="AC23" s="2">
        <f t="shared" si="34"/>
        <v>0</v>
      </c>
      <c r="AD23" s="2"/>
      <c r="AE23" s="2"/>
      <c r="AF23" s="2">
        <f t="shared" si="35"/>
        <v>0</v>
      </c>
      <c r="AG23" s="2"/>
      <c r="AH23" s="2"/>
      <c r="AI23" s="2">
        <f t="shared" si="36"/>
        <v>0</v>
      </c>
      <c r="AJ23" s="2"/>
      <c r="AK23" s="2"/>
      <c r="AL23" s="2">
        <f t="shared" si="37"/>
        <v>0</v>
      </c>
      <c r="AM23" s="2"/>
      <c r="AN23" s="2"/>
      <c r="AO23" s="2">
        <f t="shared" si="38"/>
        <v>0</v>
      </c>
      <c r="AP23" s="2"/>
      <c r="AQ23" s="2"/>
      <c r="AR23" s="2">
        <f t="shared" si="39"/>
        <v>0</v>
      </c>
      <c r="AS23" s="2"/>
      <c r="AT23" s="2"/>
      <c r="AU23" s="2">
        <f t="shared" si="40"/>
        <v>0</v>
      </c>
      <c r="AV23" s="2"/>
      <c r="AW23" s="2"/>
      <c r="AX23" s="2">
        <f t="shared" si="41"/>
        <v>0</v>
      </c>
      <c r="AY23" s="2"/>
      <c r="AZ23" s="2"/>
      <c r="BA23" s="2">
        <f t="shared" si="42"/>
        <v>0</v>
      </c>
      <c r="BB23" s="2"/>
      <c r="BC23" s="2"/>
      <c r="BD23" s="2">
        <f t="shared" si="43"/>
        <v>0</v>
      </c>
      <c r="BE23" s="2"/>
      <c r="BF23" s="2"/>
      <c r="BG23" s="2">
        <f t="shared" si="44"/>
        <v>0</v>
      </c>
      <c r="BH23" s="2"/>
      <c r="BI23" s="2"/>
      <c r="BJ23" s="2">
        <f t="shared" si="45"/>
        <v>0</v>
      </c>
      <c r="BK23" s="2"/>
      <c r="BL23" s="2"/>
      <c r="BM23" s="2">
        <f t="shared" si="46"/>
        <v>0</v>
      </c>
      <c r="BN23" s="2"/>
      <c r="BO23" s="2"/>
      <c r="BP23" s="2">
        <f t="shared" si="47"/>
        <v>0</v>
      </c>
      <c r="BQ23" s="2"/>
      <c r="BR23" s="2"/>
      <c r="BS23" s="2">
        <f t="shared" si="48"/>
        <v>0</v>
      </c>
      <c r="BT23" s="2"/>
      <c r="BU23" s="2"/>
      <c r="BV23" s="2">
        <f t="shared" si="49"/>
        <v>0</v>
      </c>
      <c r="BW23" s="2"/>
      <c r="BX23" s="2"/>
      <c r="BY23" s="2">
        <f t="shared" si="50"/>
        <v>0</v>
      </c>
      <c r="BZ23" s="2"/>
      <c r="CA23" s="2"/>
      <c r="CB23" s="2">
        <f t="shared" si="51"/>
        <v>0</v>
      </c>
      <c r="CC23" s="2"/>
      <c r="CD23" s="2"/>
      <c r="CE23" s="2">
        <f t="shared" si="52"/>
        <v>0</v>
      </c>
      <c r="CF23" s="2"/>
      <c r="CG23" s="2"/>
      <c r="CH23" s="2"/>
      <c r="CI23" s="2"/>
    </row>
    <row r="24" spans="1:87" x14ac:dyDescent="0.25">
      <c r="A24" s="20" t="s">
        <v>67</v>
      </c>
      <c r="B24" s="7" t="s">
        <v>68</v>
      </c>
      <c r="C24" s="6">
        <v>603698</v>
      </c>
      <c r="D24" s="2">
        <v>2000</v>
      </c>
      <c r="E24" s="2"/>
      <c r="F24" s="2">
        <f t="shared" si="53"/>
        <v>0</v>
      </c>
      <c r="G24" s="2"/>
      <c r="H24" s="2">
        <f t="shared" si="3"/>
        <v>2000</v>
      </c>
      <c r="I24" s="2"/>
      <c r="J24" s="2"/>
      <c r="K24" s="2">
        <f t="shared" si="4"/>
        <v>0</v>
      </c>
      <c r="L24" s="2"/>
      <c r="M24" s="2"/>
      <c r="N24" s="2">
        <f t="shared" si="5"/>
        <v>0</v>
      </c>
      <c r="O24" s="2"/>
      <c r="P24" s="2"/>
      <c r="Q24" s="2">
        <f t="shared" si="30"/>
        <v>0</v>
      </c>
      <c r="R24" s="2"/>
      <c r="S24" s="2"/>
      <c r="T24" s="2">
        <f t="shared" si="31"/>
        <v>0</v>
      </c>
      <c r="U24" s="2"/>
      <c r="V24" s="2"/>
      <c r="W24" s="2">
        <f t="shared" si="32"/>
        <v>0</v>
      </c>
      <c r="X24" s="2"/>
      <c r="Y24" s="2"/>
      <c r="Z24" s="2">
        <f t="shared" si="33"/>
        <v>0</v>
      </c>
      <c r="AA24" s="2"/>
      <c r="AB24" s="2"/>
      <c r="AC24" s="2">
        <f t="shared" si="34"/>
        <v>0</v>
      </c>
      <c r="AD24" s="2"/>
      <c r="AE24" s="2"/>
      <c r="AF24" s="2">
        <f t="shared" si="35"/>
        <v>0</v>
      </c>
      <c r="AG24" s="2"/>
      <c r="AH24" s="2"/>
      <c r="AI24" s="2">
        <f t="shared" si="36"/>
        <v>0</v>
      </c>
      <c r="AJ24" s="2"/>
      <c r="AK24" s="2"/>
      <c r="AL24" s="2">
        <f t="shared" si="37"/>
        <v>0</v>
      </c>
      <c r="AM24" s="2"/>
      <c r="AN24" s="2"/>
      <c r="AO24" s="2">
        <f t="shared" si="38"/>
        <v>0</v>
      </c>
      <c r="AP24" s="2"/>
      <c r="AQ24" s="2"/>
      <c r="AR24" s="2">
        <f t="shared" si="39"/>
        <v>0</v>
      </c>
      <c r="AS24" s="2"/>
      <c r="AT24" s="2"/>
      <c r="AU24" s="2">
        <f t="shared" si="40"/>
        <v>0</v>
      </c>
      <c r="AV24" s="2"/>
      <c r="AW24" s="2"/>
      <c r="AX24" s="2">
        <f t="shared" si="41"/>
        <v>0</v>
      </c>
      <c r="AY24" s="2"/>
      <c r="AZ24" s="2"/>
      <c r="BA24" s="2">
        <f t="shared" si="42"/>
        <v>0</v>
      </c>
      <c r="BB24" s="2"/>
      <c r="BC24" s="2"/>
      <c r="BD24" s="2">
        <f t="shared" si="43"/>
        <v>0</v>
      </c>
      <c r="BE24" s="2"/>
      <c r="BF24" s="2"/>
      <c r="BG24" s="2">
        <f t="shared" si="44"/>
        <v>0</v>
      </c>
      <c r="BH24" s="2"/>
      <c r="BI24" s="2"/>
      <c r="BJ24" s="2">
        <f t="shared" si="45"/>
        <v>0</v>
      </c>
      <c r="BK24" s="2"/>
      <c r="BL24" s="2"/>
      <c r="BM24" s="2">
        <f t="shared" si="46"/>
        <v>0</v>
      </c>
      <c r="BN24" s="2"/>
      <c r="BO24" s="2"/>
      <c r="BP24" s="2">
        <f t="shared" si="47"/>
        <v>0</v>
      </c>
      <c r="BQ24" s="2"/>
      <c r="BR24" s="2"/>
      <c r="BS24" s="2">
        <f t="shared" si="48"/>
        <v>0</v>
      </c>
      <c r="BT24" s="2"/>
      <c r="BU24" s="2"/>
      <c r="BV24" s="2">
        <f t="shared" si="49"/>
        <v>0</v>
      </c>
      <c r="BW24" s="2"/>
      <c r="BX24" s="2"/>
      <c r="BY24" s="2">
        <f t="shared" si="50"/>
        <v>0</v>
      </c>
      <c r="BZ24" s="2"/>
      <c r="CA24" s="2"/>
      <c r="CB24" s="2">
        <f t="shared" si="51"/>
        <v>0</v>
      </c>
      <c r="CC24" s="2"/>
      <c r="CD24" s="2"/>
      <c r="CE24" s="2">
        <f t="shared" si="52"/>
        <v>0</v>
      </c>
      <c r="CF24" s="2"/>
      <c r="CG24" s="2"/>
      <c r="CH24" s="2"/>
      <c r="CI24" s="2"/>
    </row>
    <row r="25" spans="1:87" x14ac:dyDescent="0.25">
      <c r="A25" s="21"/>
      <c r="B25" s="7" t="s">
        <v>69</v>
      </c>
      <c r="C25" s="6" t="s">
        <v>70</v>
      </c>
      <c r="D25" s="2">
        <v>5000</v>
      </c>
      <c r="E25" s="2"/>
      <c r="F25" s="2">
        <f>J25+M25+P25+V25+Y25+AE25+AH25+AK25+AN25+AQ25+AT25+AW25+AZ25+BC25+BF25+BL25++BI25+BO25+BR25+BU25+BX25+CA25+CD25+S25+AB25</f>
        <v>4925</v>
      </c>
      <c r="G25" s="2"/>
      <c r="H25" s="2">
        <f t="shared" si="3"/>
        <v>75</v>
      </c>
      <c r="I25" s="2"/>
      <c r="J25" s="2"/>
      <c r="K25" s="2">
        <f t="shared" si="4"/>
        <v>0</v>
      </c>
      <c r="L25" s="2"/>
      <c r="M25" s="2"/>
      <c r="N25" s="2">
        <f t="shared" si="5"/>
        <v>0</v>
      </c>
      <c r="O25" s="2"/>
      <c r="P25" s="2"/>
      <c r="Q25" s="2">
        <f t="shared" si="30"/>
        <v>0</v>
      </c>
      <c r="R25" s="2"/>
      <c r="S25" s="2"/>
      <c r="T25" s="2">
        <f t="shared" si="31"/>
        <v>0</v>
      </c>
      <c r="U25" s="2"/>
      <c r="V25" s="2"/>
      <c r="W25" s="2">
        <f t="shared" si="32"/>
        <v>0</v>
      </c>
      <c r="X25" s="2"/>
      <c r="Y25" s="2"/>
      <c r="Z25" s="2">
        <f t="shared" si="33"/>
        <v>0</v>
      </c>
      <c r="AA25" s="2"/>
      <c r="AB25" s="2"/>
      <c r="AC25" s="2">
        <f t="shared" si="34"/>
        <v>0</v>
      </c>
      <c r="AD25" s="2"/>
      <c r="AE25" s="2"/>
      <c r="AF25" s="2">
        <f t="shared" si="35"/>
        <v>0</v>
      </c>
      <c r="AG25" s="2"/>
      <c r="AH25" s="2"/>
      <c r="AI25" s="2">
        <f t="shared" si="36"/>
        <v>0</v>
      </c>
      <c r="AJ25" s="2"/>
      <c r="AK25" s="2"/>
      <c r="AL25" s="2">
        <f t="shared" si="37"/>
        <v>0</v>
      </c>
      <c r="AM25" s="2"/>
      <c r="AN25" s="2"/>
      <c r="AO25" s="2">
        <f t="shared" si="38"/>
        <v>0</v>
      </c>
      <c r="AP25" s="2">
        <v>500</v>
      </c>
      <c r="AQ25" s="2">
        <v>501</v>
      </c>
      <c r="AR25" s="2">
        <f t="shared" si="39"/>
        <v>-1</v>
      </c>
      <c r="AS25" s="2">
        <v>350</v>
      </c>
      <c r="AT25" s="2">
        <v>355</v>
      </c>
      <c r="AU25" s="2">
        <f t="shared" si="40"/>
        <v>-6</v>
      </c>
      <c r="AV25" s="2"/>
      <c r="AW25" s="2"/>
      <c r="AX25" s="2">
        <f t="shared" si="41"/>
        <v>-6</v>
      </c>
      <c r="AY25" s="2">
        <v>500</v>
      </c>
      <c r="AZ25" s="2">
        <v>517</v>
      </c>
      <c r="BA25" s="2">
        <f t="shared" si="42"/>
        <v>-23</v>
      </c>
      <c r="BB25" s="2">
        <v>750</v>
      </c>
      <c r="BC25" s="2">
        <v>777</v>
      </c>
      <c r="BD25" s="2">
        <f t="shared" si="43"/>
        <v>-50</v>
      </c>
      <c r="BE25" s="2">
        <v>800</v>
      </c>
      <c r="BF25" s="2">
        <v>831</v>
      </c>
      <c r="BG25" s="2">
        <f t="shared" si="44"/>
        <v>-81</v>
      </c>
      <c r="BH25" s="2">
        <v>220</v>
      </c>
      <c r="BI25" s="2">
        <v>223</v>
      </c>
      <c r="BJ25" s="2">
        <f t="shared" si="45"/>
        <v>-84</v>
      </c>
      <c r="BK25" s="2">
        <v>1200</v>
      </c>
      <c r="BL25" s="2">
        <f>334+884</f>
        <v>1218</v>
      </c>
      <c r="BM25" s="2">
        <f t="shared" si="46"/>
        <v>-102</v>
      </c>
      <c r="BN25" s="2"/>
      <c r="BO25" s="2"/>
      <c r="BP25" s="2">
        <f t="shared" si="47"/>
        <v>-102</v>
      </c>
      <c r="BQ25" s="2"/>
      <c r="BR25" s="2"/>
      <c r="BS25" s="2">
        <f t="shared" si="48"/>
        <v>-102</v>
      </c>
      <c r="BT25" s="2">
        <v>280</v>
      </c>
      <c r="BU25" s="2">
        <v>285</v>
      </c>
      <c r="BV25" s="2">
        <f t="shared" si="49"/>
        <v>-107</v>
      </c>
      <c r="BW25" s="2">
        <v>100</v>
      </c>
      <c r="BX25" s="2">
        <v>119</v>
      </c>
      <c r="BY25" s="2">
        <f t="shared" si="50"/>
        <v>-126</v>
      </c>
      <c r="BZ25" s="2">
        <v>100</v>
      </c>
      <c r="CA25" s="2">
        <v>99</v>
      </c>
      <c r="CB25" s="2">
        <f t="shared" si="51"/>
        <v>-125</v>
      </c>
      <c r="CC25" s="2"/>
      <c r="CD25" s="2"/>
      <c r="CE25" s="2">
        <f t="shared" si="52"/>
        <v>-125</v>
      </c>
      <c r="CF25" s="2"/>
      <c r="CG25" s="2"/>
      <c r="CH25" s="2"/>
      <c r="CI25" s="2"/>
    </row>
    <row r="26" spans="1:87" x14ac:dyDescent="0.25">
      <c r="A26" s="2"/>
      <c r="B26" s="5"/>
      <c r="C26" s="6"/>
      <c r="D26" s="2"/>
      <c r="E26" s="2">
        <f t="shared" si="29"/>
        <v>0</v>
      </c>
      <c r="F26" s="2"/>
      <c r="G26" s="2"/>
      <c r="H26" s="2"/>
      <c r="I26" s="2"/>
      <c r="J26" s="2"/>
      <c r="K26" s="2">
        <f t="shared" si="4"/>
        <v>0</v>
      </c>
      <c r="L26" s="2"/>
      <c r="M26" s="2"/>
      <c r="N26" s="2">
        <f t="shared" si="5"/>
        <v>0</v>
      </c>
      <c r="O26" s="2"/>
      <c r="P26" s="2"/>
      <c r="Q26" s="2">
        <f t="shared" si="6"/>
        <v>0</v>
      </c>
      <c r="R26" s="2"/>
      <c r="S26" s="2"/>
      <c r="T26" s="2">
        <f t="shared" si="7"/>
        <v>0</v>
      </c>
      <c r="U26" s="2"/>
      <c r="V26" s="2"/>
      <c r="W26" s="2">
        <f t="shared" si="8"/>
        <v>0</v>
      </c>
      <c r="X26" s="2"/>
      <c r="Y26" s="2"/>
      <c r="Z26" s="2">
        <f t="shared" si="9"/>
        <v>0</v>
      </c>
      <c r="AA26" s="2"/>
      <c r="AB26" s="2"/>
      <c r="AC26" s="2">
        <f t="shared" si="10"/>
        <v>0</v>
      </c>
      <c r="AD26" s="2"/>
      <c r="AE26" s="2"/>
      <c r="AF26" s="2">
        <f t="shared" si="11"/>
        <v>0</v>
      </c>
      <c r="AG26" s="2"/>
      <c r="AH26" s="2"/>
      <c r="AI26" s="2">
        <f t="shared" si="12"/>
        <v>0</v>
      </c>
      <c r="AJ26" s="2"/>
      <c r="AK26" s="2"/>
      <c r="AL26" s="2">
        <f t="shared" si="13"/>
        <v>0</v>
      </c>
      <c r="AM26" s="2"/>
      <c r="AN26" s="2"/>
      <c r="AO26" s="2">
        <f t="shared" si="14"/>
        <v>0</v>
      </c>
      <c r="AP26" s="2"/>
      <c r="AQ26" s="2"/>
      <c r="AR26" s="2">
        <f t="shared" si="15"/>
        <v>0</v>
      </c>
      <c r="AS26" s="2"/>
      <c r="AT26" s="2"/>
      <c r="AU26" s="2">
        <f t="shared" si="28"/>
        <v>0</v>
      </c>
      <c r="AV26" s="2"/>
      <c r="AW26" s="2"/>
      <c r="AX26" s="2">
        <f t="shared" si="17"/>
        <v>0</v>
      </c>
      <c r="AY26" s="2"/>
      <c r="AZ26" s="2"/>
      <c r="BA26" s="2">
        <f t="shared" si="18"/>
        <v>0</v>
      </c>
      <c r="BB26" s="2"/>
      <c r="BC26" s="2"/>
      <c r="BD26" s="2">
        <f t="shared" si="19"/>
        <v>0</v>
      </c>
      <c r="BE26" s="2"/>
      <c r="BF26" s="2"/>
      <c r="BG26" s="2">
        <f t="shared" si="20"/>
        <v>0</v>
      </c>
      <c r="BH26" s="2"/>
      <c r="BI26" s="2"/>
      <c r="BJ26" s="2">
        <f t="shared" si="21"/>
        <v>0</v>
      </c>
      <c r="BK26" s="2"/>
      <c r="BL26" s="2"/>
      <c r="BM26" s="2">
        <f t="shared" si="22"/>
        <v>0</v>
      </c>
      <c r="BN26" s="2"/>
      <c r="BO26" s="2"/>
      <c r="BP26" s="2">
        <f t="shared" si="23"/>
        <v>0</v>
      </c>
      <c r="BQ26" s="2"/>
      <c r="BR26" s="2"/>
      <c r="BS26" s="2">
        <f t="shared" si="24"/>
        <v>0</v>
      </c>
      <c r="BT26" s="2"/>
      <c r="BU26" s="2"/>
      <c r="BV26" s="2">
        <f t="shared" si="25"/>
        <v>0</v>
      </c>
      <c r="BW26" s="2"/>
      <c r="BX26" s="2"/>
      <c r="BY26" s="2">
        <f t="shared" si="26"/>
        <v>0</v>
      </c>
      <c r="BZ26" s="2"/>
      <c r="CA26" s="2"/>
      <c r="CB26" s="2">
        <f t="shared" si="0"/>
        <v>0</v>
      </c>
      <c r="CC26" s="2"/>
      <c r="CD26" s="2"/>
      <c r="CE26" s="2">
        <f t="shared" si="27"/>
        <v>0</v>
      </c>
      <c r="CF26" s="2"/>
      <c r="CG26" s="2"/>
      <c r="CH26" s="2"/>
      <c r="CI26" s="2"/>
    </row>
    <row r="27" spans="1:87" x14ac:dyDescent="0.25">
      <c r="A27" s="2" t="s">
        <v>38</v>
      </c>
      <c r="B27" s="2" t="s">
        <v>39</v>
      </c>
      <c r="C27" s="6">
        <v>600417</v>
      </c>
      <c r="D27" s="2">
        <v>2120</v>
      </c>
      <c r="E27" s="2">
        <f t="shared" ref="E27:E34" si="54">AS27+AV27+BB27+AY27++BH27+BK27+BN27+BQ27+BW27+BZ27+CC27+BT27+AP27+AJ27+AD27+AG27+AA27+X27+U27+R27+O27+L27+AM27+I27+BE27</f>
        <v>2147</v>
      </c>
      <c r="F27" s="2">
        <f>J27+M27+P27+V27+Y27+AE27+AH27+AK27+AN27+AQ27+AT27+AW27+AZ27+BC27+BF27+BL27++BI27+BO27+BR27+BU27+BX27+CA27+CD27+S27+AB27</f>
        <v>2120</v>
      </c>
      <c r="G27" s="2"/>
      <c r="H27" s="2">
        <f t="shared" si="3"/>
        <v>0</v>
      </c>
      <c r="I27" s="2"/>
      <c r="J27" s="2"/>
      <c r="K27" s="2">
        <f t="shared" si="4"/>
        <v>0</v>
      </c>
      <c r="L27" s="2"/>
      <c r="M27" s="2"/>
      <c r="N27" s="2">
        <f t="shared" si="5"/>
        <v>0</v>
      </c>
      <c r="O27" s="2"/>
      <c r="P27" s="2"/>
      <c r="Q27" s="2">
        <f t="shared" si="6"/>
        <v>0</v>
      </c>
      <c r="R27" s="2"/>
      <c r="S27" s="2"/>
      <c r="T27" s="2">
        <f t="shared" si="7"/>
        <v>0</v>
      </c>
      <c r="U27" s="2"/>
      <c r="V27" s="2"/>
      <c r="W27" s="2">
        <f t="shared" si="8"/>
        <v>0</v>
      </c>
      <c r="X27" s="2">
        <v>275</v>
      </c>
      <c r="Y27" s="2">
        <v>276</v>
      </c>
      <c r="Z27" s="2">
        <f t="shared" si="9"/>
        <v>-1</v>
      </c>
      <c r="AA27" s="2"/>
      <c r="AB27" s="2"/>
      <c r="AC27" s="2">
        <f t="shared" si="10"/>
        <v>-1</v>
      </c>
      <c r="AD27" s="2"/>
      <c r="AE27" s="2"/>
      <c r="AF27" s="2">
        <f t="shared" si="11"/>
        <v>-1</v>
      </c>
      <c r="AG27" s="2"/>
      <c r="AH27" s="2"/>
      <c r="AI27" s="2">
        <f t="shared" si="12"/>
        <v>-1</v>
      </c>
      <c r="AJ27" s="2">
        <v>820</v>
      </c>
      <c r="AK27" s="2">
        <v>822</v>
      </c>
      <c r="AL27" s="2">
        <f t="shared" ref="AL27:AL34" si="55">AI27+AJ27-AK27</f>
        <v>-3</v>
      </c>
      <c r="AM27" s="2">
        <v>300</v>
      </c>
      <c r="AN27" s="2">
        <v>290</v>
      </c>
      <c r="AO27" s="2">
        <f t="shared" si="14"/>
        <v>7</v>
      </c>
      <c r="AP27" s="2">
        <v>300</v>
      </c>
      <c r="AQ27" s="2">
        <v>280</v>
      </c>
      <c r="AR27" s="2">
        <f t="shared" si="15"/>
        <v>27</v>
      </c>
      <c r="AS27" s="2"/>
      <c r="AT27" s="2"/>
      <c r="AU27" s="2">
        <f t="shared" si="28"/>
        <v>27</v>
      </c>
      <c r="AV27" s="2"/>
      <c r="AW27" s="2"/>
      <c r="AX27" s="2">
        <f t="shared" si="17"/>
        <v>27</v>
      </c>
      <c r="AY27" s="2">
        <v>452</v>
      </c>
      <c r="AZ27" s="2">
        <f>284+168</f>
        <v>452</v>
      </c>
      <c r="BA27" s="2">
        <f t="shared" si="18"/>
        <v>27</v>
      </c>
      <c r="BB27" s="2"/>
      <c r="BC27" s="2"/>
      <c r="BD27" s="2">
        <f t="shared" si="19"/>
        <v>27</v>
      </c>
      <c r="BE27" s="2"/>
      <c r="BF27" s="2"/>
      <c r="BG27" s="2">
        <f t="shared" si="20"/>
        <v>27</v>
      </c>
      <c r="BH27" s="2"/>
      <c r="BI27" s="2"/>
      <c r="BJ27" s="2">
        <f t="shared" si="21"/>
        <v>27</v>
      </c>
      <c r="BK27" s="2"/>
      <c r="BL27" s="2"/>
      <c r="BM27" s="2">
        <f t="shared" si="22"/>
        <v>27</v>
      </c>
      <c r="BN27" s="2"/>
      <c r="BO27" s="2"/>
      <c r="BP27" s="2">
        <f t="shared" si="23"/>
        <v>27</v>
      </c>
      <c r="BQ27" s="2"/>
      <c r="BR27" s="2"/>
      <c r="BS27" s="2">
        <f t="shared" si="24"/>
        <v>27</v>
      </c>
      <c r="BT27" s="2"/>
      <c r="BU27" s="2"/>
      <c r="BV27" s="2">
        <f t="shared" si="25"/>
        <v>27</v>
      </c>
      <c r="BW27" s="2"/>
      <c r="BX27" s="2"/>
      <c r="BY27" s="2">
        <f t="shared" si="26"/>
        <v>27</v>
      </c>
      <c r="BZ27" s="2"/>
      <c r="CA27" s="2"/>
      <c r="CB27" s="2">
        <f t="shared" si="0"/>
        <v>27</v>
      </c>
      <c r="CC27" s="2"/>
      <c r="CD27" s="2"/>
      <c r="CE27" s="2">
        <f t="shared" si="27"/>
        <v>27</v>
      </c>
      <c r="CF27" s="2"/>
      <c r="CG27" s="2"/>
      <c r="CH27" s="2"/>
      <c r="CI27" s="2"/>
    </row>
    <row r="28" spans="1:87" x14ac:dyDescent="0.25">
      <c r="A28" s="2" t="s">
        <v>38</v>
      </c>
      <c r="B28" s="2" t="s">
        <v>40</v>
      </c>
      <c r="C28" s="6">
        <v>600418</v>
      </c>
      <c r="D28" s="2">
        <v>2120</v>
      </c>
      <c r="E28" s="2">
        <f t="shared" si="54"/>
        <v>2147</v>
      </c>
      <c r="F28" s="2">
        <f t="shared" ref="F28:F34" si="56">J28+M28+P28+V28+Y28+AE28+AH28+AK28+AN28+AQ28+AT28+AW28+AZ28+BC28+BF28+BL28++BI28+BO28+BR28+BU28+BX28+CA28+CD28+S28+AB28</f>
        <v>2120</v>
      </c>
      <c r="G28" s="2"/>
      <c r="H28" s="2">
        <f t="shared" si="3"/>
        <v>0</v>
      </c>
      <c r="I28" s="2"/>
      <c r="J28" s="2"/>
      <c r="K28" s="2">
        <f t="shared" si="4"/>
        <v>0</v>
      </c>
      <c r="L28" s="2"/>
      <c r="M28" s="2"/>
      <c r="N28" s="2">
        <f t="shared" si="5"/>
        <v>0</v>
      </c>
      <c r="O28" s="2"/>
      <c r="P28" s="2"/>
      <c r="Q28" s="2">
        <f t="shared" si="6"/>
        <v>0</v>
      </c>
      <c r="R28" s="2"/>
      <c r="S28" s="2"/>
      <c r="T28" s="2">
        <f t="shared" si="7"/>
        <v>0</v>
      </c>
      <c r="U28" s="2"/>
      <c r="V28" s="2"/>
      <c r="W28" s="2">
        <f t="shared" si="8"/>
        <v>0</v>
      </c>
      <c r="X28" s="2">
        <v>275</v>
      </c>
      <c r="Y28" s="2">
        <v>276</v>
      </c>
      <c r="Z28" s="2">
        <f t="shared" si="9"/>
        <v>-1</v>
      </c>
      <c r="AA28" s="2"/>
      <c r="AB28" s="2"/>
      <c r="AC28" s="2">
        <f t="shared" si="10"/>
        <v>-1</v>
      </c>
      <c r="AD28" s="2"/>
      <c r="AE28" s="2"/>
      <c r="AF28" s="2">
        <f t="shared" si="11"/>
        <v>-1</v>
      </c>
      <c r="AG28" s="2"/>
      <c r="AH28" s="2"/>
      <c r="AI28" s="2">
        <f t="shared" si="12"/>
        <v>-1</v>
      </c>
      <c r="AJ28" s="2">
        <v>820</v>
      </c>
      <c r="AK28" s="2">
        <v>822</v>
      </c>
      <c r="AL28" s="2">
        <f t="shared" si="55"/>
        <v>-3</v>
      </c>
      <c r="AM28" s="2">
        <v>300</v>
      </c>
      <c r="AN28" s="2">
        <v>290</v>
      </c>
      <c r="AO28" s="2">
        <f t="shared" si="14"/>
        <v>7</v>
      </c>
      <c r="AP28" s="2">
        <v>300</v>
      </c>
      <c r="AQ28" s="2">
        <v>280</v>
      </c>
      <c r="AR28" s="2">
        <f t="shared" si="15"/>
        <v>27</v>
      </c>
      <c r="AS28" s="2"/>
      <c r="AT28" s="2"/>
      <c r="AU28" s="2">
        <f t="shared" si="28"/>
        <v>27</v>
      </c>
      <c r="AV28" s="2"/>
      <c r="AW28" s="2"/>
      <c r="AX28" s="2">
        <f t="shared" si="17"/>
        <v>27</v>
      </c>
      <c r="AY28" s="2">
        <v>452</v>
      </c>
      <c r="AZ28" s="2">
        <f t="shared" ref="AZ28:AZ30" si="57">284+168</f>
        <v>452</v>
      </c>
      <c r="BA28" s="2">
        <f t="shared" si="18"/>
        <v>27</v>
      </c>
      <c r="BB28" s="2"/>
      <c r="BC28" s="2"/>
      <c r="BD28" s="2">
        <f t="shared" si="19"/>
        <v>27</v>
      </c>
      <c r="BE28" s="2"/>
      <c r="BF28" s="2"/>
      <c r="BG28" s="2">
        <f t="shared" si="20"/>
        <v>27</v>
      </c>
      <c r="BH28" s="2"/>
      <c r="BI28" s="2"/>
      <c r="BJ28" s="2">
        <f t="shared" si="21"/>
        <v>27</v>
      </c>
      <c r="BK28" s="2"/>
      <c r="BL28" s="2"/>
      <c r="BM28" s="2">
        <f t="shared" si="22"/>
        <v>27</v>
      </c>
      <c r="BN28" s="2"/>
      <c r="BO28" s="2"/>
      <c r="BP28" s="2">
        <f t="shared" si="23"/>
        <v>27</v>
      </c>
      <c r="BQ28" s="2"/>
      <c r="BR28" s="2"/>
      <c r="BS28" s="2">
        <f t="shared" si="24"/>
        <v>27</v>
      </c>
      <c r="BT28" s="2"/>
      <c r="BU28" s="2"/>
      <c r="BV28" s="2">
        <f t="shared" si="25"/>
        <v>27</v>
      </c>
      <c r="BW28" s="2"/>
      <c r="BX28" s="2"/>
      <c r="BY28" s="2">
        <f t="shared" si="26"/>
        <v>27</v>
      </c>
      <c r="BZ28" s="2"/>
      <c r="CA28" s="2"/>
      <c r="CB28" s="2">
        <f t="shared" si="0"/>
        <v>27</v>
      </c>
      <c r="CC28" s="2"/>
      <c r="CD28" s="2"/>
      <c r="CE28" s="2">
        <f t="shared" si="27"/>
        <v>27</v>
      </c>
      <c r="CF28" s="2"/>
      <c r="CG28" s="2"/>
      <c r="CH28" s="2"/>
      <c r="CI28" s="2"/>
    </row>
    <row r="29" spans="1:87" x14ac:dyDescent="0.25">
      <c r="A29" s="2" t="s">
        <v>38</v>
      </c>
      <c r="B29" s="8" t="s">
        <v>41</v>
      </c>
      <c r="C29" s="6">
        <v>600419</v>
      </c>
      <c r="D29" s="2">
        <v>2120</v>
      </c>
      <c r="E29" s="2">
        <f t="shared" si="54"/>
        <v>2147</v>
      </c>
      <c r="F29" s="2">
        <f t="shared" si="56"/>
        <v>2120</v>
      </c>
      <c r="G29" s="2"/>
      <c r="H29" s="2">
        <f t="shared" si="3"/>
        <v>0</v>
      </c>
      <c r="I29" s="2"/>
      <c r="J29" s="2"/>
      <c r="K29" s="2">
        <f t="shared" si="4"/>
        <v>0</v>
      </c>
      <c r="L29" s="2"/>
      <c r="M29" s="2"/>
      <c r="N29" s="2">
        <f t="shared" si="5"/>
        <v>0</v>
      </c>
      <c r="O29" s="2"/>
      <c r="P29" s="2"/>
      <c r="Q29" s="2">
        <f t="shared" si="6"/>
        <v>0</v>
      </c>
      <c r="R29" s="2"/>
      <c r="S29" s="2"/>
      <c r="T29" s="2">
        <f t="shared" si="7"/>
        <v>0</v>
      </c>
      <c r="U29" s="2"/>
      <c r="V29" s="2"/>
      <c r="W29" s="2">
        <f t="shared" si="8"/>
        <v>0</v>
      </c>
      <c r="X29" s="2">
        <v>275</v>
      </c>
      <c r="Y29" s="2">
        <v>276</v>
      </c>
      <c r="Z29" s="2">
        <f t="shared" si="9"/>
        <v>-1</v>
      </c>
      <c r="AA29" s="2"/>
      <c r="AB29" s="2"/>
      <c r="AC29" s="2">
        <f t="shared" si="10"/>
        <v>-1</v>
      </c>
      <c r="AD29" s="2"/>
      <c r="AE29" s="2"/>
      <c r="AF29" s="2">
        <f t="shared" si="11"/>
        <v>-1</v>
      </c>
      <c r="AG29" s="2"/>
      <c r="AH29" s="2"/>
      <c r="AI29" s="2">
        <f t="shared" si="12"/>
        <v>-1</v>
      </c>
      <c r="AJ29" s="2">
        <v>820</v>
      </c>
      <c r="AK29" s="2">
        <v>822</v>
      </c>
      <c r="AL29" s="2">
        <f t="shared" si="55"/>
        <v>-3</v>
      </c>
      <c r="AM29" s="2">
        <v>300</v>
      </c>
      <c r="AN29" s="2">
        <v>290</v>
      </c>
      <c r="AO29" s="2">
        <f t="shared" si="14"/>
        <v>7</v>
      </c>
      <c r="AP29" s="2">
        <v>300</v>
      </c>
      <c r="AQ29" s="2">
        <v>280</v>
      </c>
      <c r="AR29" s="2">
        <f t="shared" si="15"/>
        <v>27</v>
      </c>
      <c r="AS29" s="2"/>
      <c r="AT29" s="2"/>
      <c r="AU29" s="2">
        <f t="shared" si="28"/>
        <v>27</v>
      </c>
      <c r="AV29" s="2"/>
      <c r="AW29" s="2"/>
      <c r="AX29" s="2">
        <f t="shared" si="17"/>
        <v>27</v>
      </c>
      <c r="AY29" s="2">
        <v>452</v>
      </c>
      <c r="AZ29" s="2">
        <f t="shared" si="57"/>
        <v>452</v>
      </c>
      <c r="BA29" s="2">
        <f t="shared" si="18"/>
        <v>27</v>
      </c>
      <c r="BB29" s="2"/>
      <c r="BC29" s="2"/>
      <c r="BD29" s="2">
        <f t="shared" si="19"/>
        <v>27</v>
      </c>
      <c r="BE29" s="2"/>
      <c r="BF29" s="2"/>
      <c r="BG29" s="2">
        <f t="shared" si="20"/>
        <v>27</v>
      </c>
      <c r="BH29" s="2"/>
      <c r="BI29" s="2"/>
      <c r="BJ29" s="2">
        <f t="shared" si="21"/>
        <v>27</v>
      </c>
      <c r="BK29" s="2"/>
      <c r="BL29" s="2"/>
      <c r="BM29" s="2">
        <f t="shared" si="22"/>
        <v>27</v>
      </c>
      <c r="BN29" s="2"/>
      <c r="BO29" s="2"/>
      <c r="BP29" s="2">
        <f t="shared" si="23"/>
        <v>27</v>
      </c>
      <c r="BQ29" s="2"/>
      <c r="BR29" s="2"/>
      <c r="BS29" s="2">
        <f t="shared" si="24"/>
        <v>27</v>
      </c>
      <c r="BT29" s="2"/>
      <c r="BU29" s="2"/>
      <c r="BV29" s="2">
        <f t="shared" si="25"/>
        <v>27</v>
      </c>
      <c r="BW29" s="2"/>
      <c r="BX29" s="2"/>
      <c r="BY29" s="2">
        <f t="shared" si="26"/>
        <v>27</v>
      </c>
      <c r="BZ29" s="2"/>
      <c r="CA29" s="2"/>
      <c r="CB29" s="2">
        <f t="shared" si="0"/>
        <v>27</v>
      </c>
      <c r="CC29" s="2"/>
      <c r="CD29" s="2"/>
      <c r="CE29" s="2">
        <f t="shared" si="27"/>
        <v>27</v>
      </c>
      <c r="CF29" s="2"/>
      <c r="CG29" s="2"/>
      <c r="CH29" s="2"/>
      <c r="CI29" s="2"/>
    </row>
    <row r="30" spans="1:87" x14ac:dyDescent="0.25">
      <c r="A30" s="2" t="s">
        <v>38</v>
      </c>
      <c r="B30" s="2" t="s">
        <v>42</v>
      </c>
      <c r="C30" s="6">
        <v>600420</v>
      </c>
      <c r="D30" s="2">
        <v>2120</v>
      </c>
      <c r="E30" s="2">
        <f t="shared" si="54"/>
        <v>2147</v>
      </c>
      <c r="F30" s="2">
        <f t="shared" si="56"/>
        <v>2120</v>
      </c>
      <c r="G30" s="2"/>
      <c r="H30" s="2">
        <f t="shared" si="3"/>
        <v>0</v>
      </c>
      <c r="I30" s="2"/>
      <c r="J30" s="2"/>
      <c r="K30" s="2">
        <f t="shared" si="4"/>
        <v>0</v>
      </c>
      <c r="L30" s="2"/>
      <c r="M30" s="2"/>
      <c r="N30" s="2">
        <f t="shared" si="5"/>
        <v>0</v>
      </c>
      <c r="O30" s="2"/>
      <c r="P30" s="2"/>
      <c r="Q30" s="2">
        <f t="shared" si="6"/>
        <v>0</v>
      </c>
      <c r="R30" s="2"/>
      <c r="S30" s="2"/>
      <c r="T30" s="2">
        <f t="shared" si="7"/>
        <v>0</v>
      </c>
      <c r="U30" s="2"/>
      <c r="V30" s="2"/>
      <c r="W30" s="2">
        <f t="shared" si="8"/>
        <v>0</v>
      </c>
      <c r="X30" s="2">
        <v>275</v>
      </c>
      <c r="Y30" s="2">
        <v>276</v>
      </c>
      <c r="Z30" s="2">
        <f t="shared" si="9"/>
        <v>-1</v>
      </c>
      <c r="AA30" s="2"/>
      <c r="AB30" s="2"/>
      <c r="AC30" s="2">
        <f t="shared" si="10"/>
        <v>-1</v>
      </c>
      <c r="AD30" s="2"/>
      <c r="AE30" s="2"/>
      <c r="AF30" s="2">
        <f t="shared" si="11"/>
        <v>-1</v>
      </c>
      <c r="AG30" s="2"/>
      <c r="AH30" s="2"/>
      <c r="AI30" s="2">
        <f t="shared" si="12"/>
        <v>-1</v>
      </c>
      <c r="AJ30" s="2">
        <v>820</v>
      </c>
      <c r="AK30" s="2">
        <v>822</v>
      </c>
      <c r="AL30" s="2">
        <f t="shared" si="55"/>
        <v>-3</v>
      </c>
      <c r="AM30" s="2">
        <v>300</v>
      </c>
      <c r="AN30" s="2">
        <v>290</v>
      </c>
      <c r="AO30" s="2">
        <f t="shared" si="14"/>
        <v>7</v>
      </c>
      <c r="AP30" s="2">
        <v>300</v>
      </c>
      <c r="AQ30" s="2">
        <v>280</v>
      </c>
      <c r="AR30" s="2">
        <f t="shared" si="15"/>
        <v>27</v>
      </c>
      <c r="AS30" s="2"/>
      <c r="AT30" s="2"/>
      <c r="AU30" s="2">
        <f t="shared" si="28"/>
        <v>27</v>
      </c>
      <c r="AV30" s="2"/>
      <c r="AW30" s="2"/>
      <c r="AX30" s="2">
        <f t="shared" si="17"/>
        <v>27</v>
      </c>
      <c r="AY30" s="2">
        <v>452</v>
      </c>
      <c r="AZ30" s="2">
        <f t="shared" si="57"/>
        <v>452</v>
      </c>
      <c r="BA30" s="2">
        <f t="shared" si="18"/>
        <v>27</v>
      </c>
      <c r="BB30" s="2"/>
      <c r="BC30" s="2"/>
      <c r="BD30" s="2">
        <f t="shared" si="19"/>
        <v>27</v>
      </c>
      <c r="BE30" s="2"/>
      <c r="BF30" s="2"/>
      <c r="BG30" s="2">
        <f t="shared" si="20"/>
        <v>27</v>
      </c>
      <c r="BH30" s="2"/>
      <c r="BI30" s="2"/>
      <c r="BJ30" s="2">
        <f t="shared" si="21"/>
        <v>27</v>
      </c>
      <c r="BK30" s="2"/>
      <c r="BL30" s="2"/>
      <c r="BM30" s="2">
        <f t="shared" si="22"/>
        <v>27</v>
      </c>
      <c r="BN30" s="2"/>
      <c r="BO30" s="2"/>
      <c r="BP30" s="2">
        <f t="shared" si="23"/>
        <v>27</v>
      </c>
      <c r="BQ30" s="2"/>
      <c r="BR30" s="2"/>
      <c r="BS30" s="2">
        <f t="shared" si="24"/>
        <v>27</v>
      </c>
      <c r="BT30" s="2"/>
      <c r="BU30" s="2"/>
      <c r="BV30" s="2">
        <f t="shared" si="25"/>
        <v>27</v>
      </c>
      <c r="BW30" s="2"/>
      <c r="BX30" s="2"/>
      <c r="BY30" s="2">
        <f t="shared" si="26"/>
        <v>27</v>
      </c>
      <c r="BZ30" s="2"/>
      <c r="CA30" s="2"/>
      <c r="CB30" s="2">
        <f t="shared" si="0"/>
        <v>27</v>
      </c>
      <c r="CC30" s="2"/>
      <c r="CD30" s="2"/>
      <c r="CE30" s="2">
        <f t="shared" si="27"/>
        <v>27</v>
      </c>
      <c r="CF30" s="2"/>
      <c r="CG30" s="2"/>
      <c r="CH30" s="2"/>
      <c r="CI30" s="2"/>
    </row>
    <row r="31" spans="1:87" x14ac:dyDescent="0.25">
      <c r="A31" s="2" t="s">
        <v>43</v>
      </c>
      <c r="B31" s="2" t="s">
        <v>44</v>
      </c>
      <c r="C31" s="6">
        <v>600308</v>
      </c>
      <c r="D31" s="2">
        <v>9000</v>
      </c>
      <c r="E31" s="2">
        <f t="shared" si="54"/>
        <v>8990</v>
      </c>
      <c r="F31" s="2">
        <f t="shared" si="56"/>
        <v>9000</v>
      </c>
      <c r="G31" s="2"/>
      <c r="H31" s="2">
        <f t="shared" si="3"/>
        <v>0</v>
      </c>
      <c r="I31" s="2"/>
      <c r="J31" s="2"/>
      <c r="K31" s="2">
        <f t="shared" si="4"/>
        <v>0</v>
      </c>
      <c r="L31" s="2"/>
      <c r="M31" s="2"/>
      <c r="N31" s="2">
        <f t="shared" si="5"/>
        <v>0</v>
      </c>
      <c r="O31" s="2"/>
      <c r="P31" s="2"/>
      <c r="Q31" s="2">
        <f t="shared" si="6"/>
        <v>0</v>
      </c>
      <c r="R31" s="2"/>
      <c r="S31" s="2"/>
      <c r="T31" s="2">
        <f t="shared" si="7"/>
        <v>0</v>
      </c>
      <c r="U31" s="2"/>
      <c r="V31" s="2"/>
      <c r="W31" s="2">
        <f t="shared" si="8"/>
        <v>0</v>
      </c>
      <c r="X31" s="2"/>
      <c r="Y31" s="2"/>
      <c r="Z31" s="2">
        <f t="shared" si="9"/>
        <v>0</v>
      </c>
      <c r="AA31" s="2"/>
      <c r="AB31" s="2"/>
      <c r="AC31" s="2">
        <f t="shared" si="10"/>
        <v>0</v>
      </c>
      <c r="AD31" s="2"/>
      <c r="AE31" s="2"/>
      <c r="AF31" s="2">
        <f t="shared" si="11"/>
        <v>0</v>
      </c>
      <c r="AG31" s="2">
        <v>500</v>
      </c>
      <c r="AH31" s="2">
        <v>480</v>
      </c>
      <c r="AI31" s="2">
        <f t="shared" si="12"/>
        <v>20</v>
      </c>
      <c r="AJ31" s="2">
        <v>1900</v>
      </c>
      <c r="AK31" s="2">
        <v>1920</v>
      </c>
      <c r="AL31" s="2">
        <f t="shared" si="55"/>
        <v>0</v>
      </c>
      <c r="AM31" s="2"/>
      <c r="AN31" s="2"/>
      <c r="AO31" s="2">
        <f t="shared" si="14"/>
        <v>0</v>
      </c>
      <c r="AP31" s="2">
        <v>950</v>
      </c>
      <c r="AQ31" s="2">
        <v>960</v>
      </c>
      <c r="AR31" s="2">
        <f t="shared" si="15"/>
        <v>-10</v>
      </c>
      <c r="AS31" s="2"/>
      <c r="AT31" s="2"/>
      <c r="AU31" s="2">
        <f t="shared" si="28"/>
        <v>-10</v>
      </c>
      <c r="AV31" s="2"/>
      <c r="AW31" s="2"/>
      <c r="AX31" s="2">
        <f t="shared" si="17"/>
        <v>-10</v>
      </c>
      <c r="AY31" s="2">
        <v>2700</v>
      </c>
      <c r="AZ31" s="2">
        <v>2720</v>
      </c>
      <c r="BA31" s="2">
        <f t="shared" si="18"/>
        <v>-30</v>
      </c>
      <c r="BB31" s="2"/>
      <c r="BC31" s="2"/>
      <c r="BD31" s="2">
        <f t="shared" si="19"/>
        <v>-30</v>
      </c>
      <c r="BE31" s="2">
        <v>2900</v>
      </c>
      <c r="BF31" s="2">
        <v>2880</v>
      </c>
      <c r="BG31" s="2">
        <f t="shared" si="20"/>
        <v>-10</v>
      </c>
      <c r="BH31" s="2">
        <v>40</v>
      </c>
      <c r="BI31" s="2">
        <v>40</v>
      </c>
      <c r="BJ31" s="2">
        <f t="shared" si="21"/>
        <v>-10</v>
      </c>
      <c r="BK31" s="2"/>
      <c r="BL31" s="2"/>
      <c r="BM31" s="2">
        <f t="shared" si="22"/>
        <v>-10</v>
      </c>
      <c r="BN31" s="2"/>
      <c r="BO31" s="2"/>
      <c r="BP31" s="2">
        <f t="shared" si="23"/>
        <v>-10</v>
      </c>
      <c r="BQ31" s="2"/>
      <c r="BR31" s="2"/>
      <c r="BS31" s="2">
        <f t="shared" si="24"/>
        <v>-10</v>
      </c>
      <c r="BT31" s="2"/>
      <c r="BU31" s="2"/>
      <c r="BV31" s="2">
        <f t="shared" si="25"/>
        <v>-10</v>
      </c>
      <c r="BW31" s="2"/>
      <c r="BX31" s="2"/>
      <c r="BY31" s="2">
        <f t="shared" si="26"/>
        <v>-10</v>
      </c>
      <c r="BZ31" s="2"/>
      <c r="CA31" s="2"/>
      <c r="CB31" s="2">
        <f t="shared" si="0"/>
        <v>-10</v>
      </c>
      <c r="CC31" s="2"/>
      <c r="CD31" s="2"/>
      <c r="CE31" s="2">
        <f t="shared" si="27"/>
        <v>-10</v>
      </c>
      <c r="CF31" s="2"/>
      <c r="CG31" s="2"/>
      <c r="CH31" s="2"/>
      <c r="CI31" s="2"/>
    </row>
    <row r="32" spans="1:87" x14ac:dyDescent="0.25">
      <c r="A32" s="2" t="s">
        <v>43</v>
      </c>
      <c r="B32" s="2" t="s">
        <v>45</v>
      </c>
      <c r="C32" s="6">
        <v>600309</v>
      </c>
      <c r="D32" s="2">
        <v>9500</v>
      </c>
      <c r="E32" s="2">
        <f t="shared" si="54"/>
        <v>9493</v>
      </c>
      <c r="F32" s="2">
        <f t="shared" si="56"/>
        <v>9500</v>
      </c>
      <c r="G32" s="2"/>
      <c r="H32" s="2">
        <f>D32-F32</f>
        <v>0</v>
      </c>
      <c r="I32" s="2"/>
      <c r="J32" s="2"/>
      <c r="K32" s="2">
        <f t="shared" si="4"/>
        <v>0</v>
      </c>
      <c r="L32" s="2"/>
      <c r="M32" s="2"/>
      <c r="N32" s="2">
        <f t="shared" si="5"/>
        <v>0</v>
      </c>
      <c r="O32" s="2">
        <v>1750</v>
      </c>
      <c r="P32" s="2">
        <v>1764</v>
      </c>
      <c r="Q32" s="2">
        <f t="shared" si="6"/>
        <v>-14</v>
      </c>
      <c r="R32" s="2"/>
      <c r="S32" s="2"/>
      <c r="T32" s="2">
        <f t="shared" si="7"/>
        <v>-14</v>
      </c>
      <c r="U32" s="2"/>
      <c r="V32" s="2"/>
      <c r="W32" s="2">
        <f t="shared" si="8"/>
        <v>-14</v>
      </c>
      <c r="X32" s="2">
        <v>1200</v>
      </c>
      <c r="Y32" s="2">
        <v>1197</v>
      </c>
      <c r="Z32" s="2">
        <f t="shared" si="9"/>
        <v>-11</v>
      </c>
      <c r="AA32" s="2"/>
      <c r="AB32" s="2"/>
      <c r="AC32" s="2">
        <f t="shared" si="10"/>
        <v>-11</v>
      </c>
      <c r="AD32" s="2"/>
      <c r="AE32" s="2"/>
      <c r="AF32" s="2">
        <f t="shared" si="11"/>
        <v>-11</v>
      </c>
      <c r="AG32" s="2"/>
      <c r="AH32" s="2"/>
      <c r="AI32" s="2">
        <f t="shared" si="12"/>
        <v>-11</v>
      </c>
      <c r="AJ32" s="2">
        <v>5800</v>
      </c>
      <c r="AK32" s="2">
        <v>5796</v>
      </c>
      <c r="AL32" s="2">
        <f t="shared" si="55"/>
        <v>-7</v>
      </c>
      <c r="AM32" s="2"/>
      <c r="AN32" s="2"/>
      <c r="AO32" s="2">
        <f t="shared" si="14"/>
        <v>-7</v>
      </c>
      <c r="AP32" s="2"/>
      <c r="AQ32" s="2"/>
      <c r="AR32" s="2">
        <f t="shared" si="15"/>
        <v>-7</v>
      </c>
      <c r="AS32" s="2"/>
      <c r="AT32" s="2"/>
      <c r="AU32" s="2">
        <f t="shared" si="28"/>
        <v>-7</v>
      </c>
      <c r="AV32" s="2"/>
      <c r="AW32" s="2"/>
      <c r="AX32" s="2">
        <f t="shared" si="17"/>
        <v>-7</v>
      </c>
      <c r="AY32" s="2"/>
      <c r="AZ32" s="2"/>
      <c r="BA32" s="2">
        <f t="shared" si="18"/>
        <v>-7</v>
      </c>
      <c r="BB32" s="2"/>
      <c r="BC32" s="2"/>
      <c r="BD32" s="2">
        <f t="shared" si="19"/>
        <v>-7</v>
      </c>
      <c r="BE32" s="2"/>
      <c r="BF32" s="2"/>
      <c r="BG32" s="2">
        <f t="shared" si="20"/>
        <v>-7</v>
      </c>
      <c r="BH32" s="2">
        <v>743</v>
      </c>
      <c r="BI32" s="2">
        <v>743</v>
      </c>
      <c r="BJ32" s="2">
        <f t="shared" si="21"/>
        <v>-7</v>
      </c>
      <c r="BK32" s="2"/>
      <c r="BL32" s="2"/>
      <c r="BM32" s="2">
        <f t="shared" si="22"/>
        <v>-7</v>
      </c>
      <c r="BN32" s="2"/>
      <c r="BO32" s="2"/>
      <c r="BP32" s="2">
        <f t="shared" si="23"/>
        <v>-7</v>
      </c>
      <c r="BQ32" s="2"/>
      <c r="BR32" s="2"/>
      <c r="BS32" s="2">
        <f t="shared" si="24"/>
        <v>-7</v>
      </c>
      <c r="BT32" s="2"/>
      <c r="BU32" s="2"/>
      <c r="BV32" s="2">
        <f t="shared" si="25"/>
        <v>-7</v>
      </c>
      <c r="BW32" s="2"/>
      <c r="BX32" s="2"/>
      <c r="BY32" s="2">
        <f t="shared" si="26"/>
        <v>-7</v>
      </c>
      <c r="BZ32" s="2"/>
      <c r="CA32" s="2"/>
      <c r="CB32" s="2">
        <f t="shared" si="0"/>
        <v>-7</v>
      </c>
      <c r="CC32" s="2"/>
      <c r="CD32" s="2"/>
      <c r="CE32" s="2">
        <f t="shared" si="27"/>
        <v>-7</v>
      </c>
      <c r="CF32" s="2"/>
      <c r="CG32" s="2"/>
      <c r="CH32" s="2"/>
      <c r="CI32" s="2"/>
    </row>
    <row r="33" spans="1:87" x14ac:dyDescent="0.25">
      <c r="A33" s="2" t="s">
        <v>43</v>
      </c>
      <c r="B33" s="2" t="s">
        <v>46</v>
      </c>
      <c r="C33" s="6">
        <v>600310</v>
      </c>
      <c r="D33" s="2">
        <v>9500</v>
      </c>
      <c r="E33" s="2">
        <f t="shared" si="54"/>
        <v>9468</v>
      </c>
      <c r="F33" s="2">
        <f t="shared" si="56"/>
        <v>9500</v>
      </c>
      <c r="G33" s="2"/>
      <c r="H33" s="2">
        <f t="shared" si="3"/>
        <v>0</v>
      </c>
      <c r="I33" s="2"/>
      <c r="J33" s="2"/>
      <c r="K33" s="2">
        <f t="shared" si="4"/>
        <v>0</v>
      </c>
      <c r="L33" s="2"/>
      <c r="M33" s="2"/>
      <c r="N33" s="2">
        <f t="shared" si="5"/>
        <v>0</v>
      </c>
      <c r="O33" s="2"/>
      <c r="P33" s="2"/>
      <c r="Q33" s="2">
        <f t="shared" si="6"/>
        <v>0</v>
      </c>
      <c r="R33" s="2"/>
      <c r="S33" s="2"/>
      <c r="T33" s="2">
        <f t="shared" si="7"/>
        <v>0</v>
      </c>
      <c r="U33" s="2"/>
      <c r="V33" s="2"/>
      <c r="W33" s="2">
        <f t="shared" si="8"/>
        <v>0</v>
      </c>
      <c r="X33" s="2"/>
      <c r="Y33" s="2"/>
      <c r="Z33" s="2">
        <f t="shared" si="9"/>
        <v>0</v>
      </c>
      <c r="AA33" s="2"/>
      <c r="AB33" s="2"/>
      <c r="AC33" s="2">
        <f t="shared" si="10"/>
        <v>0</v>
      </c>
      <c r="AD33" s="2"/>
      <c r="AE33" s="2"/>
      <c r="AF33" s="2">
        <f t="shared" si="11"/>
        <v>0</v>
      </c>
      <c r="AG33" s="2"/>
      <c r="AH33" s="2"/>
      <c r="AI33" s="2">
        <f t="shared" si="12"/>
        <v>0</v>
      </c>
      <c r="AJ33" s="2">
        <v>550</v>
      </c>
      <c r="AK33" s="2">
        <v>546</v>
      </c>
      <c r="AL33" s="2">
        <f t="shared" si="55"/>
        <v>4</v>
      </c>
      <c r="AM33" s="2"/>
      <c r="AN33" s="2"/>
      <c r="AO33" s="2">
        <f t="shared" si="14"/>
        <v>4</v>
      </c>
      <c r="AP33" s="2">
        <v>2700</v>
      </c>
      <c r="AQ33" s="2">
        <v>2730</v>
      </c>
      <c r="AR33" s="2">
        <f t="shared" si="15"/>
        <v>-26</v>
      </c>
      <c r="AS33" s="2"/>
      <c r="AT33" s="2"/>
      <c r="AU33" s="2">
        <f t="shared" si="28"/>
        <v>-26</v>
      </c>
      <c r="AV33" s="2"/>
      <c r="AW33" s="2"/>
      <c r="AX33" s="2">
        <f t="shared" si="17"/>
        <v>-26</v>
      </c>
      <c r="AY33" s="2">
        <v>6000</v>
      </c>
      <c r="AZ33" s="2">
        <v>6006</v>
      </c>
      <c r="BA33" s="2">
        <f t="shared" si="18"/>
        <v>-32</v>
      </c>
      <c r="BB33" s="2"/>
      <c r="BC33" s="2"/>
      <c r="BD33" s="2">
        <f t="shared" si="19"/>
        <v>-32</v>
      </c>
      <c r="BE33" s="2"/>
      <c r="BF33" s="2"/>
      <c r="BG33" s="2">
        <f t="shared" si="20"/>
        <v>-32</v>
      </c>
      <c r="BH33" s="2"/>
      <c r="BI33" s="2"/>
      <c r="BJ33" s="2">
        <f t="shared" si="21"/>
        <v>-32</v>
      </c>
      <c r="BK33" s="2"/>
      <c r="BL33" s="2"/>
      <c r="BM33" s="2">
        <f t="shared" si="22"/>
        <v>-32</v>
      </c>
      <c r="BN33" s="2"/>
      <c r="BO33" s="2"/>
      <c r="BP33" s="2">
        <f t="shared" si="23"/>
        <v>-32</v>
      </c>
      <c r="BQ33" s="2"/>
      <c r="BR33" s="2"/>
      <c r="BS33" s="2">
        <f t="shared" si="24"/>
        <v>-32</v>
      </c>
      <c r="BT33" s="2"/>
      <c r="BU33" s="2"/>
      <c r="BV33" s="2">
        <f t="shared" si="25"/>
        <v>-32</v>
      </c>
      <c r="BW33" s="2">
        <v>218</v>
      </c>
      <c r="BX33" s="2">
        <v>218</v>
      </c>
      <c r="BY33" s="2">
        <f t="shared" si="26"/>
        <v>-32</v>
      </c>
      <c r="BZ33" s="2"/>
      <c r="CA33" s="2"/>
      <c r="CB33" s="2">
        <f t="shared" si="0"/>
        <v>-32</v>
      </c>
      <c r="CC33" s="2"/>
      <c r="CD33" s="2"/>
      <c r="CE33" s="2">
        <f t="shared" si="27"/>
        <v>-32</v>
      </c>
      <c r="CF33" s="2"/>
      <c r="CG33" s="2"/>
      <c r="CH33" s="2"/>
      <c r="CI33" s="2"/>
    </row>
    <row r="34" spans="1:87" x14ac:dyDescent="0.25">
      <c r="A34" s="2" t="s">
        <v>43</v>
      </c>
      <c r="B34" s="2" t="s">
        <v>47</v>
      </c>
      <c r="C34" s="6">
        <v>600311</v>
      </c>
      <c r="D34" s="2">
        <v>9500</v>
      </c>
      <c r="E34" s="2">
        <f t="shared" si="54"/>
        <v>9500</v>
      </c>
      <c r="F34" s="2">
        <f t="shared" si="56"/>
        <v>9500</v>
      </c>
      <c r="G34" s="2"/>
      <c r="H34" s="2">
        <f t="shared" si="3"/>
        <v>0</v>
      </c>
      <c r="I34" s="2"/>
      <c r="J34" s="2"/>
      <c r="K34" s="2">
        <f t="shared" si="4"/>
        <v>0</v>
      </c>
      <c r="L34" s="2"/>
      <c r="M34" s="2"/>
      <c r="N34" s="2">
        <f t="shared" si="5"/>
        <v>0</v>
      </c>
      <c r="O34" s="2"/>
      <c r="P34" s="2"/>
      <c r="Q34" s="2">
        <f t="shared" si="6"/>
        <v>0</v>
      </c>
      <c r="R34" s="2"/>
      <c r="S34" s="2"/>
      <c r="T34" s="2">
        <f t="shared" si="7"/>
        <v>0</v>
      </c>
      <c r="U34" s="2"/>
      <c r="V34" s="2"/>
      <c r="W34" s="2">
        <f t="shared" si="8"/>
        <v>0</v>
      </c>
      <c r="X34" s="2">
        <v>3400</v>
      </c>
      <c r="Y34" s="2">
        <v>3400</v>
      </c>
      <c r="Z34" s="2">
        <f t="shared" si="9"/>
        <v>0</v>
      </c>
      <c r="AA34" s="2"/>
      <c r="AB34" s="2"/>
      <c r="AC34" s="2">
        <f t="shared" si="10"/>
        <v>0</v>
      </c>
      <c r="AD34" s="2"/>
      <c r="AE34" s="2"/>
      <c r="AF34" s="2">
        <f t="shared" si="11"/>
        <v>0</v>
      </c>
      <c r="AG34" s="2"/>
      <c r="AH34" s="2"/>
      <c r="AI34" s="2">
        <f t="shared" si="12"/>
        <v>0</v>
      </c>
      <c r="AJ34" s="2"/>
      <c r="AK34" s="2"/>
      <c r="AL34" s="2">
        <f t="shared" si="55"/>
        <v>0</v>
      </c>
      <c r="AM34" s="2"/>
      <c r="AN34" s="2"/>
      <c r="AO34" s="2">
        <f t="shared" si="14"/>
        <v>0</v>
      </c>
      <c r="AP34" s="2">
        <v>500</v>
      </c>
      <c r="AQ34" s="2">
        <v>500</v>
      </c>
      <c r="AR34" s="2">
        <f t="shared" si="15"/>
        <v>0</v>
      </c>
      <c r="AS34" s="2"/>
      <c r="AT34" s="2"/>
      <c r="AU34" s="2">
        <f t="shared" si="28"/>
        <v>0</v>
      </c>
      <c r="AV34" s="2"/>
      <c r="AW34" s="2"/>
      <c r="AX34" s="2">
        <f t="shared" si="17"/>
        <v>0</v>
      </c>
      <c r="AY34" s="2">
        <v>4300</v>
      </c>
      <c r="AZ34" s="2">
        <v>4300</v>
      </c>
      <c r="BA34" s="2">
        <f t="shared" si="18"/>
        <v>0</v>
      </c>
      <c r="BB34" s="2"/>
      <c r="BC34" s="2"/>
      <c r="BD34" s="2">
        <f t="shared" si="19"/>
        <v>0</v>
      </c>
      <c r="BE34" s="2"/>
      <c r="BF34" s="2"/>
      <c r="BG34" s="2">
        <f t="shared" si="20"/>
        <v>0</v>
      </c>
      <c r="BH34" s="2">
        <v>900</v>
      </c>
      <c r="BI34" s="2">
        <v>900</v>
      </c>
      <c r="BJ34" s="2">
        <f t="shared" si="21"/>
        <v>0</v>
      </c>
      <c r="BK34" s="2"/>
      <c r="BL34" s="2"/>
      <c r="BM34" s="2">
        <f t="shared" si="22"/>
        <v>0</v>
      </c>
      <c r="BN34" s="2"/>
      <c r="BO34" s="2"/>
      <c r="BP34" s="2">
        <f t="shared" si="23"/>
        <v>0</v>
      </c>
      <c r="BQ34" s="2"/>
      <c r="BR34" s="2"/>
      <c r="BS34" s="2">
        <f t="shared" si="24"/>
        <v>0</v>
      </c>
      <c r="BT34" s="2"/>
      <c r="BU34" s="2"/>
      <c r="BV34" s="2">
        <f t="shared" si="25"/>
        <v>0</v>
      </c>
      <c r="BW34" s="2">
        <v>400</v>
      </c>
      <c r="BX34" s="2">
        <v>400</v>
      </c>
      <c r="BY34" s="2">
        <f t="shared" si="26"/>
        <v>0</v>
      </c>
      <c r="BZ34" s="2"/>
      <c r="CA34" s="2"/>
      <c r="CB34" s="2">
        <f t="shared" si="0"/>
        <v>0</v>
      </c>
      <c r="CC34" s="2"/>
      <c r="CD34" s="2"/>
      <c r="CE34" s="2">
        <f t="shared" si="27"/>
        <v>0</v>
      </c>
      <c r="CF34" s="2"/>
      <c r="CG34" s="2"/>
      <c r="CH34" s="2"/>
      <c r="CI34" s="2"/>
    </row>
    <row r="35" spans="1:87" x14ac:dyDescent="0.25">
      <c r="A35" s="2"/>
      <c r="B35" s="2"/>
      <c r="C35" s="6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>
        <f t="shared" si="14"/>
        <v>0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</row>
    <row r="36" spans="1:87" x14ac:dyDescent="0.25">
      <c r="A36" s="2"/>
      <c r="B36" s="2"/>
      <c r="C36" s="6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>
        <f t="shared" si="14"/>
        <v>0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</row>
    <row r="37" spans="1:87" x14ac:dyDescent="0.25">
      <c r="A37" s="17" t="s">
        <v>48</v>
      </c>
      <c r="B37" s="5">
        <v>46174</v>
      </c>
      <c r="C37" s="2" t="s">
        <v>21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>
        <f t="shared" si="14"/>
        <v>0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</row>
    <row r="38" spans="1:87" x14ac:dyDescent="0.25">
      <c r="A38" s="2" t="s">
        <v>66</v>
      </c>
      <c r="B38" s="2" t="s">
        <v>61</v>
      </c>
      <c r="C38" s="6">
        <v>602240</v>
      </c>
      <c r="D38" s="2">
        <f>7521+3000</f>
        <v>10521</v>
      </c>
      <c r="E38" s="2">
        <f t="shared" ref="E38:E46" si="58">AS38+AV38+BB38+AY38++BH38+BK38+BN38+BQ38+BW38+BZ38+CC38+BT38+AP38+AJ38+AD38+AG38+AA38+X38+U38+R38+O38+L38+AM38+I38+BE38</f>
        <v>10050</v>
      </c>
      <c r="F38" s="2">
        <f t="shared" ref="F38:F46" si="59">J38+M38+P38+V38+Y38+AE38+AH38+AK38+AN38+AQ38+AT38+AW38+AZ38+BC38+BF38+BL38++BI38+BO38+BR38+BU38+BX38+CA38+CD38+S38+AB38</f>
        <v>10110</v>
      </c>
      <c r="G38" s="2"/>
      <c r="H38" s="2">
        <f t="shared" si="3"/>
        <v>411</v>
      </c>
      <c r="I38" s="2"/>
      <c r="J38" s="2"/>
      <c r="K38" s="2">
        <f t="shared" si="4"/>
        <v>0</v>
      </c>
      <c r="L38" s="2">
        <v>400</v>
      </c>
      <c r="M38" s="2">
        <v>435</v>
      </c>
      <c r="N38" s="2">
        <f t="shared" si="5"/>
        <v>-35</v>
      </c>
      <c r="O38" s="2"/>
      <c r="P38" s="2"/>
      <c r="Q38" s="2">
        <f t="shared" si="6"/>
        <v>-35</v>
      </c>
      <c r="R38" s="2"/>
      <c r="S38" s="2"/>
      <c r="T38" s="2">
        <f t="shared" si="7"/>
        <v>-35</v>
      </c>
      <c r="U38" s="2">
        <v>1100</v>
      </c>
      <c r="V38" s="2">
        <v>1095</v>
      </c>
      <c r="W38" s="2">
        <f t="shared" si="8"/>
        <v>-30</v>
      </c>
      <c r="X38" s="2">
        <v>600</v>
      </c>
      <c r="Y38" s="2">
        <v>600</v>
      </c>
      <c r="Z38" s="2">
        <f t="shared" si="9"/>
        <v>-30</v>
      </c>
      <c r="AA38" s="2"/>
      <c r="AB38" s="2"/>
      <c r="AC38" s="2">
        <f t="shared" si="10"/>
        <v>-30</v>
      </c>
      <c r="AD38" s="2">
        <v>1250</v>
      </c>
      <c r="AE38" s="2">
        <v>1245</v>
      </c>
      <c r="AF38" s="2">
        <f t="shared" si="11"/>
        <v>-25</v>
      </c>
      <c r="AG38" s="2"/>
      <c r="AH38" s="2"/>
      <c r="AI38" s="2">
        <f t="shared" si="12"/>
        <v>-25</v>
      </c>
      <c r="AJ38" s="2"/>
      <c r="AK38" s="2"/>
      <c r="AL38" s="2">
        <f t="shared" ref="AL38:AL46" si="60">AI38+AJ38-AK38</f>
        <v>-25</v>
      </c>
      <c r="AM38" s="2">
        <v>3250</v>
      </c>
      <c r="AN38" s="2">
        <v>3285</v>
      </c>
      <c r="AO38" s="2">
        <f t="shared" si="14"/>
        <v>-60</v>
      </c>
      <c r="AP38" s="2">
        <v>1200</v>
      </c>
      <c r="AQ38" s="2">
        <v>1200</v>
      </c>
      <c r="AR38" s="2">
        <f t="shared" si="15"/>
        <v>-60</v>
      </c>
      <c r="AS38" s="2"/>
      <c r="AT38" s="2"/>
      <c r="AU38" s="2">
        <f t="shared" ref="AU38:AU45" si="61">AR38+AS38-AT38</f>
        <v>-60</v>
      </c>
      <c r="AV38" s="2"/>
      <c r="AW38" s="2"/>
      <c r="AX38" s="2">
        <f t="shared" ref="AX38:AX45" si="62">AU38+AV38-AW38</f>
        <v>-60</v>
      </c>
      <c r="AY38" s="2"/>
      <c r="AZ38" s="2"/>
      <c r="BA38" s="2">
        <f t="shared" ref="BA38:BA45" si="63">AX38+AY38-AZ38</f>
        <v>-60</v>
      </c>
      <c r="BB38" s="2"/>
      <c r="BC38" s="2"/>
      <c r="BD38" s="2">
        <f t="shared" ref="BD38:BD45" si="64">BA38+BB38-BC38</f>
        <v>-60</v>
      </c>
      <c r="BE38" s="2"/>
      <c r="BF38" s="2"/>
      <c r="BG38" s="2">
        <f t="shared" ref="BG38:BG45" si="65">BD38+BE38-BF38</f>
        <v>-60</v>
      </c>
      <c r="BH38" s="2"/>
      <c r="BI38" s="2"/>
      <c r="BJ38" s="2">
        <f t="shared" ref="BJ38:BJ45" si="66">BG38+BH38-BI38</f>
        <v>-60</v>
      </c>
      <c r="BK38" s="2"/>
      <c r="BL38" s="2"/>
      <c r="BM38" s="2">
        <f t="shared" ref="BM38:BM45" si="67">BJ38+BK38-BL38</f>
        <v>-60</v>
      </c>
      <c r="BN38" s="2">
        <v>2250</v>
      </c>
      <c r="BO38" s="2">
        <v>2250</v>
      </c>
      <c r="BP38" s="2">
        <f t="shared" ref="BP38:BP45" si="68">BM38+BN38-BO38</f>
        <v>-60</v>
      </c>
      <c r="BQ38" s="2"/>
      <c r="BR38" s="2"/>
      <c r="BS38" s="2">
        <f t="shared" ref="BS38:BS45" si="69">BP38+BQ38-BR38</f>
        <v>-60</v>
      </c>
      <c r="BT38" s="2"/>
      <c r="BU38" s="2"/>
      <c r="BV38" s="2">
        <f t="shared" ref="BV38:BV45" si="70">BS38+BT38-BU38</f>
        <v>-60</v>
      </c>
      <c r="BW38" s="2"/>
      <c r="BX38" s="2"/>
      <c r="BY38" s="2">
        <f t="shared" ref="BY38:BY45" si="71">BV38+BW38-BX38</f>
        <v>-60</v>
      </c>
      <c r="BZ38" s="2"/>
      <c r="CA38" s="2"/>
      <c r="CB38" s="2">
        <f t="shared" ref="CB38:CB45" si="72">BY38+BZ38-CA38</f>
        <v>-60</v>
      </c>
      <c r="CC38" s="2"/>
      <c r="CD38" s="2"/>
      <c r="CE38" s="2">
        <f t="shared" ref="CE38:CE45" si="73">CB38+CC38-CD38</f>
        <v>-60</v>
      </c>
      <c r="CF38" s="2"/>
      <c r="CG38" s="2"/>
      <c r="CH38" s="2"/>
      <c r="CI38" s="2"/>
    </row>
    <row r="39" spans="1:87" x14ac:dyDescent="0.25">
      <c r="A39" s="2" t="s">
        <v>63</v>
      </c>
      <c r="B39" s="1" t="s">
        <v>62</v>
      </c>
      <c r="C39" s="6">
        <v>601351</v>
      </c>
      <c r="D39" s="2">
        <v>2635</v>
      </c>
      <c r="E39" s="2">
        <f t="shared" si="58"/>
        <v>3400</v>
      </c>
      <c r="F39" s="2">
        <f t="shared" si="59"/>
        <v>3405</v>
      </c>
      <c r="G39" s="2"/>
      <c r="H39" s="2">
        <f t="shared" si="3"/>
        <v>-770</v>
      </c>
      <c r="I39" s="2"/>
      <c r="J39" s="2"/>
      <c r="K39" s="2">
        <f t="shared" si="4"/>
        <v>0</v>
      </c>
      <c r="L39" s="2">
        <v>1200</v>
      </c>
      <c r="M39" s="2">
        <v>1215</v>
      </c>
      <c r="N39" s="2">
        <f t="shared" si="5"/>
        <v>-15</v>
      </c>
      <c r="O39" s="2"/>
      <c r="P39" s="2"/>
      <c r="Q39" s="2">
        <f t="shared" si="6"/>
        <v>-15</v>
      </c>
      <c r="R39" s="2"/>
      <c r="S39" s="2"/>
      <c r="T39" s="2">
        <f t="shared" si="7"/>
        <v>-15</v>
      </c>
      <c r="U39" s="2"/>
      <c r="V39" s="2"/>
      <c r="W39" s="2">
        <f t="shared" si="8"/>
        <v>-15</v>
      </c>
      <c r="X39" s="2"/>
      <c r="Y39" s="2"/>
      <c r="Z39" s="2">
        <f t="shared" si="9"/>
        <v>-15</v>
      </c>
      <c r="AA39" s="2"/>
      <c r="AB39" s="2"/>
      <c r="AC39" s="2">
        <f t="shared" si="10"/>
        <v>-15</v>
      </c>
      <c r="AD39" s="2">
        <v>700</v>
      </c>
      <c r="AE39" s="2">
        <f>495+195</f>
        <v>690</v>
      </c>
      <c r="AF39" s="2">
        <f t="shared" si="11"/>
        <v>-5</v>
      </c>
      <c r="AG39" s="2">
        <v>600</v>
      </c>
      <c r="AH39" s="2">
        <v>600</v>
      </c>
      <c r="AI39" s="2">
        <f t="shared" si="12"/>
        <v>-5</v>
      </c>
      <c r="AJ39" s="2"/>
      <c r="AK39" s="2"/>
      <c r="AL39" s="2">
        <f t="shared" si="60"/>
        <v>-5</v>
      </c>
      <c r="AM39" s="2"/>
      <c r="AN39" s="2"/>
      <c r="AO39" s="2">
        <f t="shared" si="14"/>
        <v>-5</v>
      </c>
      <c r="AP39" s="2">
        <v>900</v>
      </c>
      <c r="AQ39" s="2">
        <v>900</v>
      </c>
      <c r="AR39" s="2">
        <f t="shared" si="15"/>
        <v>-5</v>
      </c>
      <c r="AS39" s="2"/>
      <c r="AT39" s="2"/>
      <c r="AU39" s="2">
        <f t="shared" si="61"/>
        <v>-5</v>
      </c>
      <c r="AV39" s="2"/>
      <c r="AW39" s="2"/>
      <c r="AX39" s="2">
        <f t="shared" si="62"/>
        <v>-5</v>
      </c>
      <c r="AY39" s="2"/>
      <c r="AZ39" s="2"/>
      <c r="BA39" s="2">
        <f t="shared" si="63"/>
        <v>-5</v>
      </c>
      <c r="BB39" s="2"/>
      <c r="BC39" s="2"/>
      <c r="BD39" s="2">
        <f t="shared" si="64"/>
        <v>-5</v>
      </c>
      <c r="BE39" s="2"/>
      <c r="BF39" s="2"/>
      <c r="BG39" s="2">
        <f t="shared" si="65"/>
        <v>-5</v>
      </c>
      <c r="BH39" s="2"/>
      <c r="BI39" s="2"/>
      <c r="BJ39" s="2">
        <f t="shared" si="66"/>
        <v>-5</v>
      </c>
      <c r="BK39" s="2"/>
      <c r="BL39" s="2"/>
      <c r="BM39" s="2">
        <f t="shared" si="67"/>
        <v>-5</v>
      </c>
      <c r="BN39" s="2"/>
      <c r="BO39" s="2"/>
      <c r="BP39" s="2">
        <f t="shared" si="68"/>
        <v>-5</v>
      </c>
      <c r="BQ39" s="2"/>
      <c r="BR39" s="2"/>
      <c r="BS39" s="2">
        <f t="shared" si="69"/>
        <v>-5</v>
      </c>
      <c r="BT39" s="2"/>
      <c r="BU39" s="2"/>
      <c r="BV39" s="2">
        <f t="shared" si="70"/>
        <v>-5</v>
      </c>
      <c r="BW39" s="2"/>
      <c r="BX39" s="2"/>
      <c r="BY39" s="2">
        <f t="shared" si="71"/>
        <v>-5</v>
      </c>
      <c r="BZ39" s="2"/>
      <c r="CA39" s="2"/>
      <c r="CB39" s="2">
        <f t="shared" si="72"/>
        <v>-5</v>
      </c>
      <c r="CC39" s="2"/>
      <c r="CD39" s="2"/>
      <c r="CE39" s="2">
        <f t="shared" si="73"/>
        <v>-5</v>
      </c>
      <c r="CF39" s="2"/>
      <c r="CG39" s="2"/>
      <c r="CH39" s="2"/>
      <c r="CI39" s="2"/>
    </row>
    <row r="40" spans="1:87" x14ac:dyDescent="0.25">
      <c r="A40" s="9"/>
      <c r="B40" s="1" t="s">
        <v>64</v>
      </c>
      <c r="C40" s="6" t="s">
        <v>65</v>
      </c>
      <c r="D40" s="2">
        <f>1057+2000</f>
        <v>3057</v>
      </c>
      <c r="E40" s="2">
        <f t="shared" si="58"/>
        <v>3307</v>
      </c>
      <c r="F40" s="2">
        <f t="shared" si="59"/>
        <v>2925</v>
      </c>
      <c r="G40" s="2"/>
      <c r="H40" s="2">
        <f t="shared" si="3"/>
        <v>132</v>
      </c>
      <c r="I40" s="2"/>
      <c r="J40" s="2"/>
      <c r="K40" s="2">
        <f t="shared" si="4"/>
        <v>0</v>
      </c>
      <c r="L40" s="2">
        <v>1057</v>
      </c>
      <c r="M40" s="2">
        <v>1050</v>
      </c>
      <c r="N40" s="2">
        <f t="shared" si="5"/>
        <v>7</v>
      </c>
      <c r="O40" s="2"/>
      <c r="P40" s="2"/>
      <c r="Q40" s="2">
        <f t="shared" si="6"/>
        <v>7</v>
      </c>
      <c r="R40" s="2"/>
      <c r="S40" s="2"/>
      <c r="T40" s="2">
        <f t="shared" si="7"/>
        <v>7</v>
      </c>
      <c r="U40" s="2"/>
      <c r="V40" s="2"/>
      <c r="W40" s="2">
        <f t="shared" si="8"/>
        <v>7</v>
      </c>
      <c r="X40" s="2"/>
      <c r="Y40" s="2"/>
      <c r="Z40" s="2">
        <f t="shared" si="9"/>
        <v>7</v>
      </c>
      <c r="AA40" s="2"/>
      <c r="AB40" s="2"/>
      <c r="AC40" s="2">
        <f t="shared" si="10"/>
        <v>7</v>
      </c>
      <c r="AD40" s="2"/>
      <c r="AE40" s="2"/>
      <c r="AF40" s="2">
        <f t="shared" si="11"/>
        <v>7</v>
      </c>
      <c r="AG40" s="2"/>
      <c r="AH40" s="2"/>
      <c r="AI40" s="2">
        <f t="shared" si="12"/>
        <v>7</v>
      </c>
      <c r="AJ40" s="2"/>
      <c r="AK40" s="2"/>
      <c r="AL40" s="2">
        <f t="shared" si="60"/>
        <v>7</v>
      </c>
      <c r="AM40" s="2"/>
      <c r="AN40" s="2"/>
      <c r="AO40" s="2">
        <f t="shared" si="14"/>
        <v>7</v>
      </c>
      <c r="AP40" s="2">
        <v>2250</v>
      </c>
      <c r="AQ40" s="2">
        <f>1155+720</f>
        <v>1875</v>
      </c>
      <c r="AR40" s="2">
        <f t="shared" si="15"/>
        <v>382</v>
      </c>
      <c r="AS40" s="2"/>
      <c r="AT40" s="2"/>
      <c r="AU40" s="2">
        <f t="shared" si="61"/>
        <v>382</v>
      </c>
      <c r="AV40" s="2"/>
      <c r="AW40" s="2"/>
      <c r="AX40" s="2">
        <f t="shared" si="62"/>
        <v>382</v>
      </c>
      <c r="AY40" s="2"/>
      <c r="AZ40" s="2"/>
      <c r="BA40" s="2">
        <f t="shared" si="63"/>
        <v>382</v>
      </c>
      <c r="BB40" s="2"/>
      <c r="BC40" s="2"/>
      <c r="BD40" s="2">
        <f t="shared" si="64"/>
        <v>382</v>
      </c>
      <c r="BE40" s="2"/>
      <c r="BF40" s="2"/>
      <c r="BG40" s="2">
        <f t="shared" si="65"/>
        <v>382</v>
      </c>
      <c r="BH40" s="2"/>
      <c r="BI40" s="2"/>
      <c r="BJ40" s="2">
        <f t="shared" si="66"/>
        <v>382</v>
      </c>
      <c r="BK40" s="2"/>
      <c r="BL40" s="2"/>
      <c r="BM40" s="2">
        <f t="shared" si="67"/>
        <v>382</v>
      </c>
      <c r="BN40" s="2"/>
      <c r="BO40" s="2"/>
      <c r="BP40" s="2">
        <f t="shared" si="68"/>
        <v>382</v>
      </c>
      <c r="BQ40" s="2"/>
      <c r="BR40" s="2"/>
      <c r="BS40" s="2">
        <f t="shared" si="69"/>
        <v>382</v>
      </c>
      <c r="BT40" s="2"/>
      <c r="BU40" s="2"/>
      <c r="BV40" s="2">
        <f t="shared" si="70"/>
        <v>382</v>
      </c>
      <c r="BW40" s="2"/>
      <c r="BX40" s="2"/>
      <c r="BY40" s="2">
        <f t="shared" si="71"/>
        <v>382</v>
      </c>
      <c r="BZ40" s="2"/>
      <c r="CA40" s="2"/>
      <c r="CB40" s="2">
        <f t="shared" si="72"/>
        <v>382</v>
      </c>
      <c r="CC40" s="2"/>
      <c r="CD40" s="2"/>
      <c r="CE40" s="2">
        <f t="shared" si="73"/>
        <v>382</v>
      </c>
      <c r="CF40" s="2"/>
      <c r="CG40" s="2"/>
      <c r="CH40" s="2"/>
      <c r="CI40" s="2"/>
    </row>
    <row r="41" spans="1:87" x14ac:dyDescent="0.25">
      <c r="A41" s="22" t="s">
        <v>49</v>
      </c>
      <c r="B41" s="10" t="s">
        <v>56</v>
      </c>
      <c r="C41" s="6">
        <v>606732</v>
      </c>
      <c r="D41" s="2"/>
      <c r="E41" s="2">
        <f t="shared" si="58"/>
        <v>0</v>
      </c>
      <c r="F41" s="2">
        <f t="shared" si="59"/>
        <v>0</v>
      </c>
      <c r="G41" s="2"/>
      <c r="H41" s="2">
        <f t="shared" ref="H41" si="74">D41-F41</f>
        <v>0</v>
      </c>
      <c r="I41" s="2"/>
      <c r="J41" s="2"/>
      <c r="K41" s="2">
        <f t="shared" si="4"/>
        <v>0</v>
      </c>
      <c r="L41" s="2"/>
      <c r="M41" s="2"/>
      <c r="N41" s="2">
        <f t="shared" si="5"/>
        <v>0</v>
      </c>
      <c r="O41" s="2"/>
      <c r="P41" s="2"/>
      <c r="Q41" s="2">
        <f t="shared" si="6"/>
        <v>0</v>
      </c>
      <c r="R41" s="2"/>
      <c r="S41" s="2"/>
      <c r="T41" s="2">
        <f t="shared" si="7"/>
        <v>0</v>
      </c>
      <c r="U41" s="2"/>
      <c r="V41" s="2"/>
      <c r="W41" s="2">
        <f t="shared" si="8"/>
        <v>0</v>
      </c>
      <c r="X41" s="2"/>
      <c r="Y41" s="2"/>
      <c r="Z41" s="2">
        <f t="shared" si="9"/>
        <v>0</v>
      </c>
      <c r="AA41" s="2"/>
      <c r="AB41" s="2"/>
      <c r="AC41" s="2">
        <f t="shared" si="10"/>
        <v>0</v>
      </c>
      <c r="AD41" s="2"/>
      <c r="AE41" s="2"/>
      <c r="AF41" s="2">
        <f t="shared" si="11"/>
        <v>0</v>
      </c>
      <c r="AG41" s="2"/>
      <c r="AH41" s="2"/>
      <c r="AI41" s="2">
        <f t="shared" si="12"/>
        <v>0</v>
      </c>
      <c r="AJ41" s="2"/>
      <c r="AK41" s="2"/>
      <c r="AL41" s="2">
        <f t="shared" si="60"/>
        <v>0</v>
      </c>
      <c r="AM41" s="2"/>
      <c r="AN41" s="2"/>
      <c r="AO41" s="2">
        <f t="shared" si="14"/>
        <v>0</v>
      </c>
      <c r="AP41" s="2"/>
      <c r="AQ41" s="2"/>
      <c r="AR41" s="2">
        <f t="shared" si="15"/>
        <v>0</v>
      </c>
      <c r="AS41" s="2"/>
      <c r="AT41" s="2"/>
      <c r="AU41" s="2">
        <f t="shared" si="61"/>
        <v>0</v>
      </c>
      <c r="AV41" s="2"/>
      <c r="AW41" s="2"/>
      <c r="AX41" s="2">
        <f t="shared" si="62"/>
        <v>0</v>
      </c>
      <c r="AY41" s="2"/>
      <c r="AZ41" s="2"/>
      <c r="BA41" s="2">
        <f t="shared" si="63"/>
        <v>0</v>
      </c>
      <c r="BB41" s="2"/>
      <c r="BC41" s="2"/>
      <c r="BD41" s="2">
        <f t="shared" si="64"/>
        <v>0</v>
      </c>
      <c r="BE41" s="2"/>
      <c r="BF41" s="2"/>
      <c r="BG41" s="2">
        <f t="shared" si="65"/>
        <v>0</v>
      </c>
      <c r="BH41" s="2"/>
      <c r="BI41" s="2"/>
      <c r="BJ41" s="2">
        <f t="shared" si="66"/>
        <v>0</v>
      </c>
      <c r="BK41" s="2"/>
      <c r="BL41" s="2"/>
      <c r="BM41" s="2">
        <f t="shared" si="67"/>
        <v>0</v>
      </c>
      <c r="BN41" s="2"/>
      <c r="BO41" s="2"/>
      <c r="BP41" s="2">
        <f t="shared" si="68"/>
        <v>0</v>
      </c>
      <c r="BQ41" s="2"/>
      <c r="BR41" s="2"/>
      <c r="BS41" s="2">
        <f t="shared" si="69"/>
        <v>0</v>
      </c>
      <c r="BT41" s="2"/>
      <c r="BU41" s="2"/>
      <c r="BV41" s="2">
        <f t="shared" si="70"/>
        <v>0</v>
      </c>
      <c r="BW41" s="2"/>
      <c r="BX41" s="2"/>
      <c r="BY41" s="2">
        <f t="shared" si="71"/>
        <v>0</v>
      </c>
      <c r="BZ41" s="2"/>
      <c r="CA41" s="2"/>
      <c r="CB41" s="2">
        <f t="shared" si="72"/>
        <v>0</v>
      </c>
      <c r="CC41" s="2"/>
      <c r="CD41" s="2"/>
      <c r="CE41" s="2">
        <f t="shared" si="73"/>
        <v>0</v>
      </c>
      <c r="CF41" s="2"/>
      <c r="CG41" s="2"/>
      <c r="CH41" s="2"/>
      <c r="CI41" s="2"/>
    </row>
    <row r="42" spans="1:87" x14ac:dyDescent="0.25">
      <c r="A42" s="23"/>
      <c r="B42" s="10" t="s">
        <v>57</v>
      </c>
      <c r="C42" s="6">
        <v>606733</v>
      </c>
      <c r="D42" s="2"/>
      <c r="E42" s="2">
        <f t="shared" si="58"/>
        <v>0</v>
      </c>
      <c r="F42" s="2">
        <f t="shared" si="59"/>
        <v>0</v>
      </c>
      <c r="G42" s="2"/>
      <c r="H42" s="2">
        <f t="shared" ref="H42:H46" si="75">D42-F42</f>
        <v>0</v>
      </c>
      <c r="I42" s="2"/>
      <c r="J42" s="2"/>
      <c r="K42" s="2">
        <f t="shared" ref="K42:K44" si="76">I42-J42</f>
        <v>0</v>
      </c>
      <c r="L42" s="2"/>
      <c r="M42" s="2"/>
      <c r="N42" s="2">
        <f t="shared" ref="N42:N44" si="77">K42+L42-M42</f>
        <v>0</v>
      </c>
      <c r="O42" s="2"/>
      <c r="P42" s="2"/>
      <c r="Q42" s="2">
        <f t="shared" si="6"/>
        <v>0</v>
      </c>
      <c r="R42" s="2"/>
      <c r="S42" s="2"/>
      <c r="T42" s="2">
        <f t="shared" ref="T42:T44" si="78">Q42+R42-S42</f>
        <v>0</v>
      </c>
      <c r="U42" s="2"/>
      <c r="V42" s="2"/>
      <c r="W42" s="2">
        <f t="shared" ref="W42:W44" si="79">T42+U42-V42</f>
        <v>0</v>
      </c>
      <c r="X42" s="2"/>
      <c r="Y42" s="2"/>
      <c r="Z42" s="2">
        <f t="shared" ref="Z42:Z44" si="80">W42+X42-Y42</f>
        <v>0</v>
      </c>
      <c r="AA42" s="2"/>
      <c r="AB42" s="2"/>
      <c r="AC42" s="2">
        <f t="shared" ref="AC42:AC44" si="81">Z42+AA42-AB42</f>
        <v>0</v>
      </c>
      <c r="AD42" s="2"/>
      <c r="AE42" s="2"/>
      <c r="AF42" s="2">
        <f t="shared" ref="AF42:AF44" si="82">AC42+AD42-AE42</f>
        <v>0</v>
      </c>
      <c r="AG42" s="2"/>
      <c r="AH42" s="2"/>
      <c r="AI42" s="2">
        <f t="shared" si="12"/>
        <v>0</v>
      </c>
      <c r="AJ42" s="2"/>
      <c r="AK42" s="2"/>
      <c r="AL42" s="2">
        <f t="shared" si="60"/>
        <v>0</v>
      </c>
      <c r="AM42" s="2"/>
      <c r="AN42" s="2"/>
      <c r="AO42" s="2">
        <f t="shared" si="14"/>
        <v>0</v>
      </c>
      <c r="AP42" s="2"/>
      <c r="AQ42" s="2"/>
      <c r="AR42" s="2">
        <f t="shared" si="15"/>
        <v>0</v>
      </c>
      <c r="AS42" s="2"/>
      <c r="AT42" s="2"/>
      <c r="AU42" s="2">
        <f t="shared" si="61"/>
        <v>0</v>
      </c>
      <c r="AV42" s="2"/>
      <c r="AW42" s="2"/>
      <c r="AX42" s="2">
        <f t="shared" si="62"/>
        <v>0</v>
      </c>
      <c r="AY42" s="2"/>
      <c r="AZ42" s="2"/>
      <c r="BA42" s="2">
        <f t="shared" si="63"/>
        <v>0</v>
      </c>
      <c r="BB42" s="2"/>
      <c r="BC42" s="2"/>
      <c r="BD42" s="2">
        <f t="shared" si="64"/>
        <v>0</v>
      </c>
      <c r="BE42" s="2"/>
      <c r="BF42" s="2"/>
      <c r="BG42" s="2">
        <f t="shared" si="65"/>
        <v>0</v>
      </c>
      <c r="BH42" s="2"/>
      <c r="BI42" s="2"/>
      <c r="BJ42" s="2">
        <f t="shared" si="66"/>
        <v>0</v>
      </c>
      <c r="BK42" s="2"/>
      <c r="BL42" s="2"/>
      <c r="BM42" s="2">
        <f t="shared" si="67"/>
        <v>0</v>
      </c>
      <c r="BN42" s="2"/>
      <c r="BO42" s="2"/>
      <c r="BP42" s="2">
        <f t="shared" si="68"/>
        <v>0</v>
      </c>
      <c r="BQ42" s="2"/>
      <c r="BR42" s="2"/>
      <c r="BS42" s="2">
        <f t="shared" si="69"/>
        <v>0</v>
      </c>
      <c r="BT42" s="2"/>
      <c r="BU42" s="2"/>
      <c r="BV42" s="2">
        <f t="shared" si="70"/>
        <v>0</v>
      </c>
      <c r="BW42" s="2"/>
      <c r="BX42" s="2"/>
      <c r="BY42" s="2">
        <f t="shared" si="71"/>
        <v>0</v>
      </c>
      <c r="BZ42" s="2"/>
      <c r="CA42" s="2"/>
      <c r="CB42" s="2">
        <f t="shared" si="72"/>
        <v>0</v>
      </c>
      <c r="CC42" s="2"/>
      <c r="CD42" s="2"/>
      <c r="CE42" s="2">
        <f t="shared" si="73"/>
        <v>0</v>
      </c>
      <c r="CF42" s="2"/>
      <c r="CG42" s="2"/>
      <c r="CH42" s="2"/>
      <c r="CI42" s="2"/>
    </row>
    <row r="43" spans="1:87" ht="18.75" x14ac:dyDescent="0.3">
      <c r="A43" s="23"/>
      <c r="B43" s="2" t="s">
        <v>58</v>
      </c>
      <c r="C43" s="6">
        <v>606088</v>
      </c>
      <c r="D43" s="2">
        <f>10502+10000</f>
        <v>20502</v>
      </c>
      <c r="E43" s="2">
        <f t="shared" si="58"/>
        <v>15450</v>
      </c>
      <c r="F43" s="2">
        <f t="shared" si="59"/>
        <v>15544</v>
      </c>
      <c r="G43" s="2"/>
      <c r="H43" s="2">
        <f t="shared" si="75"/>
        <v>4958</v>
      </c>
      <c r="I43" s="2"/>
      <c r="J43" s="2"/>
      <c r="K43" s="2">
        <f t="shared" si="76"/>
        <v>0</v>
      </c>
      <c r="L43" s="2"/>
      <c r="M43" s="2"/>
      <c r="N43" s="2">
        <f t="shared" si="77"/>
        <v>0</v>
      </c>
      <c r="O43" s="2">
        <v>1100</v>
      </c>
      <c r="P43" s="2">
        <v>1120</v>
      </c>
      <c r="Q43" s="2">
        <f t="shared" si="6"/>
        <v>-20</v>
      </c>
      <c r="R43" s="2">
        <v>1120</v>
      </c>
      <c r="S43" s="2">
        <v>1120</v>
      </c>
      <c r="T43" s="2">
        <f t="shared" si="78"/>
        <v>-20</v>
      </c>
      <c r="U43" s="2"/>
      <c r="V43" s="2"/>
      <c r="W43" s="2">
        <f t="shared" si="79"/>
        <v>-20</v>
      </c>
      <c r="X43" s="2"/>
      <c r="Y43" s="2"/>
      <c r="Z43" s="2">
        <f t="shared" si="80"/>
        <v>-20</v>
      </c>
      <c r="AA43" s="2"/>
      <c r="AB43" s="2"/>
      <c r="AC43" s="2">
        <f t="shared" si="81"/>
        <v>-20</v>
      </c>
      <c r="AD43" s="2">
        <v>750</v>
      </c>
      <c r="AE43" s="2">
        <v>756</v>
      </c>
      <c r="AF43" s="2">
        <f t="shared" si="82"/>
        <v>-26</v>
      </c>
      <c r="AG43" s="2">
        <v>1120</v>
      </c>
      <c r="AH43" s="2">
        <v>1120</v>
      </c>
      <c r="AI43" s="2">
        <f t="shared" si="12"/>
        <v>-26</v>
      </c>
      <c r="AJ43" s="2">
        <v>950</v>
      </c>
      <c r="AK43" s="2">
        <v>960</v>
      </c>
      <c r="AL43" s="2">
        <f t="shared" si="60"/>
        <v>-36</v>
      </c>
      <c r="AM43" s="2"/>
      <c r="AN43" s="2"/>
      <c r="AO43" s="2">
        <f t="shared" si="14"/>
        <v>-36</v>
      </c>
      <c r="AP43" s="2">
        <v>850</v>
      </c>
      <c r="AQ43" s="2">
        <v>852</v>
      </c>
      <c r="AR43" s="2">
        <f t="shared" si="15"/>
        <v>-38</v>
      </c>
      <c r="AS43" s="2"/>
      <c r="AT43" s="2"/>
      <c r="AU43" s="2">
        <f t="shared" si="61"/>
        <v>-38</v>
      </c>
      <c r="AV43" s="2"/>
      <c r="AW43" s="2"/>
      <c r="AX43" s="2">
        <f t="shared" si="62"/>
        <v>-38</v>
      </c>
      <c r="AY43" s="2">
        <v>1900</v>
      </c>
      <c r="AZ43" s="2">
        <f>800+1120</f>
        <v>1920</v>
      </c>
      <c r="BA43" s="2">
        <f t="shared" si="63"/>
        <v>-58</v>
      </c>
      <c r="BB43" s="2"/>
      <c r="BC43" s="2"/>
      <c r="BD43" s="2">
        <f t="shared" si="64"/>
        <v>-58</v>
      </c>
      <c r="BE43" s="2">
        <v>1120</v>
      </c>
      <c r="BF43" s="2">
        <v>1120</v>
      </c>
      <c r="BG43" s="2">
        <f t="shared" si="65"/>
        <v>-58</v>
      </c>
      <c r="BH43" s="2"/>
      <c r="BI43" s="2"/>
      <c r="BJ43" s="2">
        <f t="shared" si="66"/>
        <v>-58</v>
      </c>
      <c r="BK43" s="2"/>
      <c r="BL43" s="2"/>
      <c r="BM43" s="2">
        <f t="shared" si="67"/>
        <v>-58</v>
      </c>
      <c r="BN43" s="2">
        <v>1120</v>
      </c>
      <c r="BO43" s="2">
        <v>1120</v>
      </c>
      <c r="BP43" s="2">
        <f t="shared" si="68"/>
        <v>-58</v>
      </c>
      <c r="BQ43" s="2"/>
      <c r="BR43" s="2"/>
      <c r="BS43" s="2">
        <f t="shared" si="69"/>
        <v>-58</v>
      </c>
      <c r="BT43" s="2">
        <v>1120</v>
      </c>
      <c r="BU43" s="2">
        <v>1120</v>
      </c>
      <c r="BV43" s="2">
        <f t="shared" si="70"/>
        <v>-58</v>
      </c>
      <c r="BW43" s="2">
        <v>2300</v>
      </c>
      <c r="BX43" s="2">
        <f>1200+1120</f>
        <v>2320</v>
      </c>
      <c r="BY43" s="2">
        <f t="shared" si="71"/>
        <v>-78</v>
      </c>
      <c r="BZ43" s="2"/>
      <c r="CA43" s="2"/>
      <c r="CB43" s="2">
        <f t="shared" si="72"/>
        <v>-78</v>
      </c>
      <c r="CC43" s="2">
        <v>2000</v>
      </c>
      <c r="CD43" s="2">
        <v>2016</v>
      </c>
      <c r="CE43" s="2">
        <f t="shared" si="73"/>
        <v>-94</v>
      </c>
      <c r="CF43" s="2"/>
      <c r="CG43" s="2"/>
      <c r="CH43" s="2"/>
      <c r="CI43" s="11"/>
    </row>
    <row r="44" spans="1:87" x14ac:dyDescent="0.25">
      <c r="A44" s="24"/>
      <c r="B44" s="10" t="s">
        <v>54</v>
      </c>
      <c r="C44" s="6">
        <v>605989</v>
      </c>
      <c r="D44" s="2">
        <v>2986</v>
      </c>
      <c r="E44" s="2">
        <f t="shared" si="58"/>
        <v>2950</v>
      </c>
      <c r="F44" s="2">
        <f t="shared" si="59"/>
        <v>2983</v>
      </c>
      <c r="G44" s="2"/>
      <c r="H44" s="2">
        <f>D44-F44</f>
        <v>3</v>
      </c>
      <c r="I44" s="2"/>
      <c r="J44" s="2"/>
      <c r="K44" s="2">
        <f t="shared" si="76"/>
        <v>0</v>
      </c>
      <c r="L44" s="2"/>
      <c r="M44" s="2"/>
      <c r="N44" s="2">
        <f t="shared" si="77"/>
        <v>0</v>
      </c>
      <c r="O44" s="2"/>
      <c r="P44" s="2"/>
      <c r="Q44" s="2">
        <f t="shared" si="6"/>
        <v>0</v>
      </c>
      <c r="R44" s="2"/>
      <c r="S44" s="2"/>
      <c r="T44" s="2">
        <f t="shared" si="78"/>
        <v>0</v>
      </c>
      <c r="U44" s="2"/>
      <c r="V44" s="2"/>
      <c r="W44" s="2">
        <f t="shared" si="79"/>
        <v>0</v>
      </c>
      <c r="X44" s="2">
        <v>1350</v>
      </c>
      <c r="Y44" s="2">
        <v>1375</v>
      </c>
      <c r="Z44" s="2">
        <f t="shared" si="80"/>
        <v>-25</v>
      </c>
      <c r="AA44" s="2"/>
      <c r="AB44" s="2"/>
      <c r="AC44" s="2">
        <f t="shared" si="81"/>
        <v>-25</v>
      </c>
      <c r="AD44" s="2">
        <v>1600</v>
      </c>
      <c r="AE44" s="2">
        <v>1608</v>
      </c>
      <c r="AF44" s="2">
        <f t="shared" si="82"/>
        <v>-33</v>
      </c>
      <c r="AG44" s="2"/>
      <c r="AH44" s="2"/>
      <c r="AI44" s="2">
        <f t="shared" si="12"/>
        <v>-33</v>
      </c>
      <c r="AJ44" s="2"/>
      <c r="AK44" s="2"/>
      <c r="AL44" s="2">
        <f t="shared" si="60"/>
        <v>-33</v>
      </c>
      <c r="AM44" s="2"/>
      <c r="AN44" s="2"/>
      <c r="AO44" s="2">
        <f t="shared" si="14"/>
        <v>-33</v>
      </c>
      <c r="AP44" s="2"/>
      <c r="AQ44" s="2"/>
      <c r="AR44" s="2">
        <f t="shared" si="15"/>
        <v>-33</v>
      </c>
      <c r="AS44" s="2"/>
      <c r="AT44" s="2"/>
      <c r="AU44" s="2">
        <f t="shared" si="61"/>
        <v>-33</v>
      </c>
      <c r="AV44" s="2"/>
      <c r="AW44" s="2"/>
      <c r="AX44" s="2">
        <f t="shared" si="62"/>
        <v>-33</v>
      </c>
      <c r="AY44" s="2"/>
      <c r="AZ44" s="2"/>
      <c r="BA44" s="2">
        <f t="shared" si="63"/>
        <v>-33</v>
      </c>
      <c r="BB44" s="2"/>
      <c r="BC44" s="2"/>
      <c r="BD44" s="2">
        <f t="shared" si="64"/>
        <v>-33</v>
      </c>
      <c r="BE44" s="2"/>
      <c r="BF44" s="2"/>
      <c r="BG44" s="2">
        <f t="shared" si="65"/>
        <v>-33</v>
      </c>
      <c r="BH44" s="2"/>
      <c r="BI44" s="2"/>
      <c r="BJ44" s="2">
        <f t="shared" si="66"/>
        <v>-33</v>
      </c>
      <c r="BK44" s="2"/>
      <c r="BL44" s="2"/>
      <c r="BM44" s="2">
        <f t="shared" si="67"/>
        <v>-33</v>
      </c>
      <c r="BN44" s="2"/>
      <c r="BO44" s="2"/>
      <c r="BP44" s="2">
        <f t="shared" si="68"/>
        <v>-33</v>
      </c>
      <c r="BQ44" s="2"/>
      <c r="BR44" s="2"/>
      <c r="BS44" s="2">
        <f t="shared" si="69"/>
        <v>-33</v>
      </c>
      <c r="BT44" s="2"/>
      <c r="BU44" s="2"/>
      <c r="BV44" s="2">
        <f t="shared" si="70"/>
        <v>-33</v>
      </c>
      <c r="BW44" s="2"/>
      <c r="BX44" s="2"/>
      <c r="BY44" s="2">
        <f t="shared" si="71"/>
        <v>-33</v>
      </c>
      <c r="BZ44" s="2"/>
      <c r="CA44" s="2"/>
      <c r="CB44" s="2">
        <f t="shared" si="72"/>
        <v>-33</v>
      </c>
      <c r="CC44" s="2"/>
      <c r="CD44" s="2"/>
      <c r="CE44" s="2">
        <f t="shared" si="73"/>
        <v>-33</v>
      </c>
      <c r="CF44" s="2"/>
      <c r="CG44" s="2"/>
      <c r="CH44" s="2"/>
      <c r="CI44" s="2"/>
    </row>
    <row r="45" spans="1:87" x14ac:dyDescent="0.25">
      <c r="A45" s="2"/>
      <c r="B45" s="10" t="s">
        <v>55</v>
      </c>
      <c r="C45" s="12">
        <v>606731</v>
      </c>
      <c r="D45" s="2"/>
      <c r="E45" s="2">
        <f t="shared" si="58"/>
        <v>0</v>
      </c>
      <c r="F45" s="2">
        <f t="shared" si="59"/>
        <v>0</v>
      </c>
      <c r="G45" s="2"/>
      <c r="H45" s="2">
        <f t="shared" si="75"/>
        <v>0</v>
      </c>
      <c r="I45" s="2"/>
      <c r="J45" s="2"/>
      <c r="K45" s="2"/>
      <c r="L45" s="2"/>
      <c r="M45" s="2"/>
      <c r="N45" s="2">
        <f t="shared" si="5"/>
        <v>0</v>
      </c>
      <c r="O45" s="2"/>
      <c r="P45" s="2"/>
      <c r="Q45" s="2">
        <f t="shared" si="6"/>
        <v>0</v>
      </c>
      <c r="R45" s="2"/>
      <c r="S45" s="2"/>
      <c r="T45" s="2">
        <f t="shared" si="7"/>
        <v>0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>
        <f t="shared" si="60"/>
        <v>0</v>
      </c>
      <c r="AM45" s="2"/>
      <c r="AN45" s="2"/>
      <c r="AO45" s="2">
        <f t="shared" si="14"/>
        <v>0</v>
      </c>
      <c r="AP45" s="2"/>
      <c r="AQ45" s="2"/>
      <c r="AR45" s="2">
        <f t="shared" si="15"/>
        <v>0</v>
      </c>
      <c r="AS45" s="2"/>
      <c r="AT45" s="2"/>
      <c r="AU45" s="2">
        <f t="shared" si="61"/>
        <v>0</v>
      </c>
      <c r="AV45" s="2"/>
      <c r="AW45" s="2"/>
      <c r="AX45" s="2">
        <f t="shared" si="62"/>
        <v>0</v>
      </c>
      <c r="AY45" s="2"/>
      <c r="AZ45" s="2"/>
      <c r="BA45" s="2">
        <f t="shared" si="63"/>
        <v>0</v>
      </c>
      <c r="BB45" s="2"/>
      <c r="BC45" s="2"/>
      <c r="BD45" s="2">
        <f t="shared" si="64"/>
        <v>0</v>
      </c>
      <c r="BE45" s="2"/>
      <c r="BF45" s="2"/>
      <c r="BG45" s="2">
        <f t="shared" si="65"/>
        <v>0</v>
      </c>
      <c r="BH45" s="2"/>
      <c r="BI45" s="2"/>
      <c r="BJ45" s="2">
        <f t="shared" si="66"/>
        <v>0</v>
      </c>
      <c r="BK45" s="2"/>
      <c r="BL45" s="2"/>
      <c r="BM45" s="2">
        <f t="shared" si="67"/>
        <v>0</v>
      </c>
      <c r="BN45" s="2"/>
      <c r="BO45" s="2"/>
      <c r="BP45" s="2">
        <f t="shared" si="68"/>
        <v>0</v>
      </c>
      <c r="BQ45" s="2"/>
      <c r="BR45" s="2"/>
      <c r="BS45" s="2">
        <f t="shared" si="69"/>
        <v>0</v>
      </c>
      <c r="BT45" s="2"/>
      <c r="BU45" s="2"/>
      <c r="BV45" s="2">
        <f t="shared" si="70"/>
        <v>0</v>
      </c>
      <c r="BW45" s="2"/>
      <c r="BX45" s="2"/>
      <c r="BY45" s="2">
        <f t="shared" si="71"/>
        <v>0</v>
      </c>
      <c r="BZ45" s="2"/>
      <c r="CA45" s="2"/>
      <c r="CB45" s="2">
        <f t="shared" si="72"/>
        <v>0</v>
      </c>
      <c r="CC45" s="2"/>
      <c r="CD45" s="2"/>
      <c r="CE45" s="2">
        <f t="shared" si="73"/>
        <v>0</v>
      </c>
      <c r="CF45" s="2"/>
      <c r="CG45" s="2"/>
      <c r="CH45" s="2"/>
      <c r="CI45" s="2"/>
    </row>
    <row r="46" spans="1:87" x14ac:dyDescent="0.25">
      <c r="A46" s="2"/>
      <c r="B46" s="10" t="s">
        <v>59</v>
      </c>
      <c r="C46" s="12">
        <v>605999</v>
      </c>
      <c r="D46" s="2">
        <v>6147</v>
      </c>
      <c r="E46" s="2">
        <f t="shared" si="58"/>
        <v>6077</v>
      </c>
      <c r="F46" s="2">
        <f t="shared" si="59"/>
        <v>6147</v>
      </c>
      <c r="G46" s="2"/>
      <c r="H46" s="2">
        <f t="shared" si="75"/>
        <v>0</v>
      </c>
      <c r="I46" s="2"/>
      <c r="J46" s="2"/>
      <c r="K46" s="2">
        <f t="shared" si="4"/>
        <v>0</v>
      </c>
      <c r="L46" s="2"/>
      <c r="M46" s="2"/>
      <c r="N46" s="2">
        <f t="shared" si="5"/>
        <v>0</v>
      </c>
      <c r="O46" s="2">
        <v>2550</v>
      </c>
      <c r="P46" s="2">
        <v>2560</v>
      </c>
      <c r="Q46" s="2">
        <f t="shared" si="6"/>
        <v>-10</v>
      </c>
      <c r="R46" s="2"/>
      <c r="S46" s="2"/>
      <c r="T46" s="2">
        <f t="shared" si="7"/>
        <v>-10</v>
      </c>
      <c r="U46" s="2">
        <v>1500</v>
      </c>
      <c r="V46" s="2">
        <v>1520</v>
      </c>
      <c r="W46" s="2">
        <f t="shared" si="8"/>
        <v>-30</v>
      </c>
      <c r="X46" s="2"/>
      <c r="Y46" s="2"/>
      <c r="Z46" s="2">
        <f t="shared" si="9"/>
        <v>-30</v>
      </c>
      <c r="AA46" s="2"/>
      <c r="AB46" s="2"/>
      <c r="AC46" s="2">
        <f t="shared" si="10"/>
        <v>-30</v>
      </c>
      <c r="AD46" s="2"/>
      <c r="AE46" s="2"/>
      <c r="AF46" s="2">
        <f t="shared" si="11"/>
        <v>-30</v>
      </c>
      <c r="AG46" s="2">
        <v>1250</v>
      </c>
      <c r="AH46" s="2">
        <v>1280</v>
      </c>
      <c r="AI46" s="2">
        <f t="shared" si="12"/>
        <v>-60</v>
      </c>
      <c r="AJ46" s="2">
        <v>750</v>
      </c>
      <c r="AK46" s="2">
        <v>760</v>
      </c>
      <c r="AL46" s="2">
        <f t="shared" si="60"/>
        <v>-70</v>
      </c>
      <c r="AM46" s="2"/>
      <c r="AN46" s="2"/>
      <c r="AO46" s="2">
        <f t="shared" si="14"/>
        <v>-70</v>
      </c>
      <c r="AP46" s="2"/>
      <c r="AQ46" s="2">
        <v>0</v>
      </c>
      <c r="AR46" s="2">
        <f t="shared" si="15"/>
        <v>-70</v>
      </c>
      <c r="AS46" s="2"/>
      <c r="AT46" s="2"/>
      <c r="AU46" s="2">
        <f t="shared" si="28"/>
        <v>-70</v>
      </c>
      <c r="AV46" s="2"/>
      <c r="AW46" s="2"/>
      <c r="AX46" s="2">
        <f t="shared" si="17"/>
        <v>-70</v>
      </c>
      <c r="AY46" s="2"/>
      <c r="AZ46" s="2"/>
      <c r="BA46" s="2">
        <f t="shared" si="18"/>
        <v>-70</v>
      </c>
      <c r="BB46" s="2"/>
      <c r="BC46" s="2"/>
      <c r="BD46" s="2">
        <f t="shared" si="19"/>
        <v>-70</v>
      </c>
      <c r="BE46" s="2">
        <v>27</v>
      </c>
      <c r="BF46" s="2">
        <v>27</v>
      </c>
      <c r="BG46" s="2">
        <f t="shared" si="20"/>
        <v>-70</v>
      </c>
      <c r="BH46" s="2"/>
      <c r="BI46" s="2"/>
      <c r="BJ46" s="2">
        <f t="shared" si="21"/>
        <v>-70</v>
      </c>
      <c r="BK46" s="2"/>
      <c r="BL46" s="2"/>
      <c r="BM46" s="2">
        <f t="shared" si="22"/>
        <v>-70</v>
      </c>
      <c r="BN46" s="2"/>
      <c r="BO46" s="2"/>
      <c r="BP46" s="2">
        <f t="shared" si="23"/>
        <v>-70</v>
      </c>
      <c r="BQ46" s="2"/>
      <c r="BR46" s="2"/>
      <c r="BS46" s="2">
        <f t="shared" si="24"/>
        <v>-70</v>
      </c>
      <c r="BT46" s="2"/>
      <c r="BU46" s="2"/>
      <c r="BV46" s="2">
        <f t="shared" si="25"/>
        <v>-70</v>
      </c>
      <c r="BW46" s="2"/>
      <c r="BX46" s="2"/>
      <c r="BY46" s="2">
        <f t="shared" si="26"/>
        <v>-70</v>
      </c>
      <c r="BZ46" s="2"/>
      <c r="CA46" s="2"/>
      <c r="CB46" s="2">
        <f t="shared" si="0"/>
        <v>-70</v>
      </c>
      <c r="CC46" s="2"/>
      <c r="CD46" s="2"/>
      <c r="CE46" s="2">
        <f t="shared" si="27"/>
        <v>-70</v>
      </c>
      <c r="CF46" s="2"/>
      <c r="CG46" s="2"/>
      <c r="CH46" s="2"/>
      <c r="CI46" s="2"/>
    </row>
    <row r="47" spans="1:87" ht="42.6" customHeight="1" x14ac:dyDescent="0.25">
      <c r="A47" s="18" t="s">
        <v>50</v>
      </c>
      <c r="B47" s="10">
        <v>46174</v>
      </c>
      <c r="C47" s="7" t="s">
        <v>21</v>
      </c>
      <c r="D47" s="7"/>
      <c r="E47" s="3" t="s">
        <v>29</v>
      </c>
      <c r="F47" s="13" t="s">
        <v>30</v>
      </c>
      <c r="G47" s="13" t="s">
        <v>51</v>
      </c>
      <c r="H47" s="13" t="s">
        <v>31</v>
      </c>
      <c r="I47" s="28">
        <f>I3</f>
        <v>46174</v>
      </c>
      <c r="J47" s="29"/>
      <c r="K47" s="29"/>
      <c r="L47" s="28">
        <f>L3</f>
        <v>46175</v>
      </c>
      <c r="M47" s="29"/>
      <c r="N47" s="29"/>
      <c r="O47" s="28">
        <f>O3</f>
        <v>46176</v>
      </c>
      <c r="P47" s="29"/>
      <c r="Q47" s="29"/>
      <c r="R47" s="28">
        <f>R3</f>
        <v>46177</v>
      </c>
      <c r="S47" s="29"/>
      <c r="T47" s="29"/>
      <c r="U47" s="28">
        <f>U3</f>
        <v>46178</v>
      </c>
      <c r="V47" s="29"/>
      <c r="W47" s="29"/>
      <c r="X47" s="28">
        <f>X3</f>
        <v>46179</v>
      </c>
      <c r="Y47" s="29"/>
      <c r="Z47" s="29"/>
      <c r="AA47" s="28">
        <f>AA3</f>
        <v>46180</v>
      </c>
      <c r="AB47" s="29"/>
      <c r="AC47" s="29"/>
      <c r="AD47" s="28">
        <f>AD3</f>
        <v>46181</v>
      </c>
      <c r="AE47" s="29"/>
      <c r="AF47" s="29"/>
      <c r="AG47" s="28">
        <f>AG3</f>
        <v>46182</v>
      </c>
      <c r="AH47" s="29"/>
      <c r="AI47" s="29"/>
      <c r="AJ47" s="28">
        <f>AJ3</f>
        <v>46183</v>
      </c>
      <c r="AK47" s="29"/>
      <c r="AL47" s="29"/>
      <c r="AM47" s="28">
        <f>AM3</f>
        <v>46184</v>
      </c>
      <c r="AN47" s="29"/>
      <c r="AO47" s="29"/>
      <c r="AP47" s="28">
        <f>AP3</f>
        <v>46185</v>
      </c>
      <c r="AQ47" s="29"/>
      <c r="AR47" s="29"/>
      <c r="AS47" s="28">
        <f>AS3</f>
        <v>46186</v>
      </c>
      <c r="AT47" s="29"/>
      <c r="AU47" s="29"/>
      <c r="AV47" s="28">
        <f>AV3</f>
        <v>46187</v>
      </c>
      <c r="AW47" s="29"/>
      <c r="AX47" s="29"/>
      <c r="AY47" s="28">
        <f>AY3</f>
        <v>46188</v>
      </c>
      <c r="AZ47" s="29"/>
      <c r="BA47" s="29"/>
      <c r="BB47" s="28">
        <f>BB3</f>
        <v>46189</v>
      </c>
      <c r="BC47" s="29"/>
      <c r="BD47" s="29"/>
      <c r="BE47" s="28">
        <f>BE3</f>
        <v>46190</v>
      </c>
      <c r="BF47" s="29"/>
      <c r="BG47" s="29"/>
      <c r="BH47" s="28">
        <f>BH3</f>
        <v>46191</v>
      </c>
      <c r="BI47" s="29"/>
      <c r="BJ47" s="29"/>
      <c r="BK47" s="28">
        <f>BK3</f>
        <v>46192</v>
      </c>
      <c r="BL47" s="29"/>
      <c r="BM47" s="29"/>
      <c r="BN47" s="28">
        <f>BN3</f>
        <v>46193</v>
      </c>
      <c r="BO47" s="29"/>
      <c r="BP47" s="29"/>
      <c r="BQ47" s="28">
        <f>BQ3</f>
        <v>46194</v>
      </c>
      <c r="BR47" s="29"/>
      <c r="BS47" s="29"/>
      <c r="BT47" s="28">
        <f>BT3</f>
        <v>46195</v>
      </c>
      <c r="BU47" s="29"/>
      <c r="BV47" s="29"/>
      <c r="BW47" s="28">
        <f>BW3</f>
        <v>46196</v>
      </c>
      <c r="BX47" s="29"/>
      <c r="BY47" s="29"/>
      <c r="BZ47" s="28">
        <f>BZ3</f>
        <v>46197</v>
      </c>
      <c r="CA47" s="29"/>
      <c r="CB47" s="29"/>
      <c r="CC47" s="28">
        <f>CC3</f>
        <v>46198</v>
      </c>
      <c r="CD47" s="29"/>
      <c r="CE47" s="29"/>
      <c r="CF47" s="2" t="s">
        <v>34</v>
      </c>
      <c r="CG47" s="2" t="s">
        <v>35</v>
      </c>
      <c r="CH47" s="2" t="s">
        <v>36</v>
      </c>
      <c r="CI47" s="2"/>
    </row>
    <row r="48" spans="1:87" ht="33" customHeight="1" x14ac:dyDescent="0.25">
      <c r="A48" s="25" t="s">
        <v>49</v>
      </c>
      <c r="B48" s="2" t="s">
        <v>58</v>
      </c>
      <c r="C48" s="2">
        <v>606088</v>
      </c>
      <c r="D48" s="2">
        <f>3649+399</f>
        <v>4048</v>
      </c>
      <c r="E48" s="2"/>
      <c r="F48" s="2">
        <f>J48+M48+P48+V48+Y48+AE48+AH48+AK48+AN48+AQ48+AT48+AW48+AZ48+BC48+BF48+BL48++BI48+S48+BO48+BR48+BU48+BX48+CA48+CD48+AB48</f>
        <v>4048</v>
      </c>
      <c r="G48" s="2"/>
      <c r="H48" s="2">
        <f>D48-F48</f>
        <v>0</v>
      </c>
      <c r="I48" s="2"/>
      <c r="J48" s="2"/>
      <c r="K48" s="2">
        <f>I48-J48</f>
        <v>0</v>
      </c>
      <c r="L48" s="2"/>
      <c r="M48" s="2"/>
      <c r="N48" s="2">
        <f>K48+L48-M48</f>
        <v>0</v>
      </c>
      <c r="O48" s="2"/>
      <c r="P48" s="2"/>
      <c r="Q48" s="2">
        <f>N48+O48-P48</f>
        <v>0</v>
      </c>
      <c r="R48" s="2"/>
      <c r="S48" s="2"/>
      <c r="T48" s="2">
        <f>Q48+R48-S48</f>
        <v>0</v>
      </c>
      <c r="U48" s="2">
        <v>1100</v>
      </c>
      <c r="V48" s="2">
        <v>1120</v>
      </c>
      <c r="W48" s="2">
        <f>T48+U48-V48</f>
        <v>-20</v>
      </c>
      <c r="X48" s="2"/>
      <c r="Y48" s="2"/>
      <c r="Z48" s="2">
        <f>W48+X48-Y48</f>
        <v>-20</v>
      </c>
      <c r="AA48" s="2"/>
      <c r="AB48" s="4"/>
      <c r="AC48" s="2">
        <f>Z48+AA48-AB48</f>
        <v>-20</v>
      </c>
      <c r="AD48" s="2"/>
      <c r="AE48" s="2"/>
      <c r="AF48" s="2">
        <f>AC48+AD48-AE48</f>
        <v>-20</v>
      </c>
      <c r="AG48" s="2"/>
      <c r="AH48" s="2"/>
      <c r="AI48" s="2">
        <f>AF48+AG48-AH48</f>
        <v>-20</v>
      </c>
      <c r="AJ48" s="2"/>
      <c r="AK48" s="2"/>
      <c r="AL48" s="2">
        <f>AI48+AJ48-AK48</f>
        <v>-20</v>
      </c>
      <c r="AM48" s="2"/>
      <c r="AN48" s="2"/>
      <c r="AO48" s="2">
        <f>AL48+AM48-AN48</f>
        <v>-20</v>
      </c>
      <c r="AP48" s="2">
        <v>800</v>
      </c>
      <c r="AQ48" s="2">
        <v>800</v>
      </c>
      <c r="AR48" s="2">
        <f>AO48+AP48-AQ48</f>
        <v>-20</v>
      </c>
      <c r="AS48" s="2"/>
      <c r="AT48" s="2"/>
      <c r="AU48" s="2">
        <f>AR48+AS48-AT48</f>
        <v>-20</v>
      </c>
      <c r="AV48" s="2"/>
      <c r="AW48" s="2"/>
      <c r="AX48" s="2">
        <f>AU48+AV48-AW48</f>
        <v>-20</v>
      </c>
      <c r="AY48" s="2"/>
      <c r="AZ48" s="2"/>
      <c r="BA48" s="2">
        <f>AX48+AY48-AZ48</f>
        <v>-20</v>
      </c>
      <c r="BB48" s="2">
        <v>1000</v>
      </c>
      <c r="BC48" s="2">
        <v>1012</v>
      </c>
      <c r="BD48" s="2">
        <f>BA48+BB48-BC48</f>
        <v>-32</v>
      </c>
      <c r="BE48" s="2"/>
      <c r="BF48" s="2"/>
      <c r="BG48" s="2">
        <f>BD48+BE48-BF48</f>
        <v>-32</v>
      </c>
      <c r="BH48" s="2">
        <v>1116</v>
      </c>
      <c r="BI48" s="2">
        <v>1116</v>
      </c>
      <c r="BJ48" s="2">
        <f>BG48+BH48-BI48</f>
        <v>-32</v>
      </c>
      <c r="BK48" s="2"/>
      <c r="BL48" s="2"/>
      <c r="BM48" s="2">
        <f>BJ48+BK48-BL48</f>
        <v>-32</v>
      </c>
      <c r="BN48" s="2"/>
      <c r="BO48" s="2"/>
      <c r="BP48" s="2"/>
      <c r="BQ48" s="2"/>
      <c r="BR48" s="2"/>
      <c r="BS48" s="2">
        <f>BP48+BQ48-BR48</f>
        <v>0</v>
      </c>
      <c r="BT48" s="2"/>
      <c r="BU48" s="2"/>
      <c r="BV48" s="2">
        <f>BS48+BT48-BU48</f>
        <v>0</v>
      </c>
      <c r="BW48" s="2"/>
      <c r="BX48" s="2"/>
      <c r="BY48" s="2">
        <f>BV48+BW48-BX48</f>
        <v>0</v>
      </c>
      <c r="BZ48" s="2"/>
      <c r="CA48" s="2"/>
      <c r="CB48" s="2">
        <f>BY48+BZ48-CA48</f>
        <v>0</v>
      </c>
      <c r="CC48" s="2"/>
      <c r="CD48" s="2"/>
      <c r="CE48" s="2">
        <f>CB48+CC48-CD48</f>
        <v>0</v>
      </c>
      <c r="CF48" s="2"/>
      <c r="CG48" s="2"/>
      <c r="CH48" s="19"/>
      <c r="CI48" s="2"/>
    </row>
    <row r="49" spans="1:87" ht="14.45" customHeight="1" x14ac:dyDescent="0.25">
      <c r="A49" s="26"/>
      <c r="B49" s="10" t="s">
        <v>54</v>
      </c>
      <c r="C49" s="7">
        <v>605989</v>
      </c>
      <c r="D49" s="7"/>
      <c r="E49" s="3"/>
      <c r="F49" s="2">
        <f t="shared" ref="F49:F53" si="83">J49+M49+P49+V49+Y49+AE49+AH49+AK49+AN49+AQ49+AT49+AW49+AZ49+BC49+BF49+BL49++BI49+S49+BO49+BR49+BU49+BX49+CA49+CD49+AB49</f>
        <v>0</v>
      </c>
      <c r="G49" s="13"/>
      <c r="H49" s="2">
        <f t="shared" ref="H49:H53" si="84">D49-F49</f>
        <v>0</v>
      </c>
      <c r="I49" s="14"/>
      <c r="J49" s="15"/>
      <c r="K49" s="15"/>
      <c r="L49" s="14"/>
      <c r="M49" s="15"/>
      <c r="N49" s="15"/>
      <c r="O49" s="14"/>
      <c r="P49" s="15"/>
      <c r="Q49" s="15"/>
      <c r="R49" s="14"/>
      <c r="S49" s="15"/>
      <c r="T49" s="15"/>
      <c r="U49" s="14"/>
      <c r="V49" s="15"/>
      <c r="W49" s="15"/>
      <c r="X49" s="14"/>
      <c r="Y49" s="15"/>
      <c r="Z49" s="15"/>
      <c r="AA49" s="14"/>
      <c r="AB49" s="15"/>
      <c r="AC49" s="15"/>
      <c r="AD49" s="14"/>
      <c r="AE49" s="15"/>
      <c r="AF49" s="15"/>
      <c r="AG49" s="14"/>
      <c r="AH49" s="15"/>
      <c r="AI49" s="15"/>
      <c r="AJ49" s="14"/>
      <c r="AK49" s="15"/>
      <c r="AL49" s="15"/>
      <c r="AM49" s="14"/>
      <c r="AN49" s="15"/>
      <c r="AO49" s="15"/>
      <c r="AP49" s="14"/>
      <c r="AQ49" s="15"/>
      <c r="AR49" s="15"/>
      <c r="AS49" s="14"/>
      <c r="AT49" s="15"/>
      <c r="AU49" s="15"/>
      <c r="AV49" s="14"/>
      <c r="AW49" s="15"/>
      <c r="AX49" s="15"/>
      <c r="AY49" s="14"/>
      <c r="AZ49" s="15"/>
      <c r="BA49" s="15"/>
      <c r="BB49" s="14"/>
      <c r="BC49" s="15"/>
      <c r="BD49" s="15"/>
      <c r="BE49" s="14"/>
      <c r="BF49" s="15"/>
      <c r="BG49" s="15"/>
      <c r="BH49" s="14"/>
      <c r="BI49" s="16"/>
      <c r="BJ49" s="15"/>
      <c r="BK49" s="14"/>
      <c r="BL49" s="15"/>
      <c r="BM49" s="15"/>
      <c r="BN49" s="14"/>
      <c r="BO49" s="15"/>
      <c r="BP49" s="15"/>
      <c r="BQ49" s="14"/>
      <c r="BR49" s="15"/>
      <c r="BS49" s="15"/>
      <c r="BT49" s="14"/>
      <c r="BU49" s="15"/>
      <c r="BV49" s="15"/>
      <c r="BW49" s="14"/>
      <c r="BX49" s="15"/>
      <c r="BY49" s="15"/>
      <c r="BZ49" s="14"/>
      <c r="CA49" s="15"/>
      <c r="CB49" s="15"/>
      <c r="CC49" s="14"/>
      <c r="CD49" s="15"/>
      <c r="CE49" s="15"/>
      <c r="CF49" s="2"/>
      <c r="CG49" s="2"/>
      <c r="CH49" s="2"/>
      <c r="CI49" s="2"/>
    </row>
    <row r="50" spans="1:87" ht="17.45" customHeight="1" x14ac:dyDescent="0.25">
      <c r="A50" s="26"/>
      <c r="B50" s="10" t="s">
        <v>55</v>
      </c>
      <c r="C50" s="7">
        <v>606731</v>
      </c>
      <c r="D50" s="7"/>
      <c r="E50" s="3"/>
      <c r="F50" s="2">
        <f t="shared" si="83"/>
        <v>0</v>
      </c>
      <c r="G50" s="13"/>
      <c r="H50" s="2">
        <f t="shared" si="84"/>
        <v>0</v>
      </c>
      <c r="I50" s="14"/>
      <c r="J50" s="15"/>
      <c r="K50" s="15"/>
      <c r="L50" s="14"/>
      <c r="M50" s="15"/>
      <c r="N50" s="15"/>
      <c r="O50" s="14"/>
      <c r="P50" s="15"/>
      <c r="Q50" s="15"/>
      <c r="R50" s="14"/>
      <c r="S50" s="15"/>
      <c r="T50" s="15"/>
      <c r="U50" s="14"/>
      <c r="V50" s="15"/>
      <c r="W50" s="15"/>
      <c r="X50" s="14"/>
      <c r="Y50" s="15"/>
      <c r="Z50" s="15"/>
      <c r="AA50" s="14"/>
      <c r="AB50" s="15"/>
      <c r="AC50" s="15"/>
      <c r="AD50" s="14"/>
      <c r="AE50" s="15"/>
      <c r="AF50" s="15"/>
      <c r="AG50" s="14"/>
      <c r="AH50" s="15"/>
      <c r="AI50" s="15"/>
      <c r="AJ50" s="14"/>
      <c r="AK50" s="15"/>
      <c r="AL50" s="15"/>
      <c r="AM50" s="14"/>
      <c r="AN50" s="15"/>
      <c r="AO50" s="15"/>
      <c r="AP50" s="14"/>
      <c r="AQ50" s="15"/>
      <c r="AR50" s="15"/>
      <c r="AS50" s="14"/>
      <c r="AT50" s="15"/>
      <c r="AU50" s="15"/>
      <c r="AV50" s="14"/>
      <c r="AW50" s="15"/>
      <c r="AX50" s="15"/>
      <c r="AY50" s="14"/>
      <c r="AZ50" s="15"/>
      <c r="BA50" s="15"/>
      <c r="BB50" s="14"/>
      <c r="BC50" s="15"/>
      <c r="BD50" s="15"/>
      <c r="BE50" s="14"/>
      <c r="BF50" s="15"/>
      <c r="BG50" s="15"/>
      <c r="BH50" s="14"/>
      <c r="BI50" s="16"/>
      <c r="BJ50" s="15"/>
      <c r="BK50" s="14"/>
      <c r="BL50" s="15"/>
      <c r="BM50" s="15"/>
      <c r="BN50" s="14"/>
      <c r="BO50" s="15"/>
      <c r="BP50" s="15"/>
      <c r="BQ50" s="14"/>
      <c r="BR50" s="15"/>
      <c r="BS50" s="15"/>
      <c r="BT50" s="14"/>
      <c r="BU50" s="15"/>
      <c r="BV50" s="15"/>
      <c r="BW50" s="14"/>
      <c r="BX50" s="15"/>
      <c r="BY50" s="15"/>
      <c r="BZ50" s="14"/>
      <c r="CA50" s="15"/>
      <c r="CB50" s="15"/>
      <c r="CC50" s="14"/>
      <c r="CD50" s="15"/>
      <c r="CE50" s="15"/>
      <c r="CF50" s="2"/>
      <c r="CG50" s="2"/>
      <c r="CH50" s="2"/>
      <c r="CI50" s="2"/>
    </row>
    <row r="51" spans="1:87" ht="20.45" customHeight="1" x14ac:dyDescent="0.25">
      <c r="A51" s="26"/>
      <c r="B51" s="10" t="s">
        <v>56</v>
      </c>
      <c r="C51" s="7">
        <v>606732</v>
      </c>
      <c r="D51" s="7"/>
      <c r="E51" s="3"/>
      <c r="F51" s="2">
        <f t="shared" si="83"/>
        <v>0</v>
      </c>
      <c r="G51" s="13"/>
      <c r="H51" s="2">
        <f t="shared" si="84"/>
        <v>0</v>
      </c>
      <c r="I51" s="14"/>
      <c r="J51" s="15"/>
      <c r="K51" s="15"/>
      <c r="L51" s="14"/>
      <c r="M51" s="15"/>
      <c r="N51" s="15"/>
      <c r="O51" s="14"/>
      <c r="P51" s="15"/>
      <c r="Q51" s="15"/>
      <c r="R51" s="14"/>
      <c r="S51" s="15"/>
      <c r="T51" s="15"/>
      <c r="U51" s="14"/>
      <c r="V51" s="15"/>
      <c r="W51" s="15"/>
      <c r="X51" s="14"/>
      <c r="Y51" s="15"/>
      <c r="Z51" s="15"/>
      <c r="AA51" s="14"/>
      <c r="AB51" s="15"/>
      <c r="AC51" s="15"/>
      <c r="AD51" s="14"/>
      <c r="AE51" s="15"/>
      <c r="AF51" s="15"/>
      <c r="AG51" s="14"/>
      <c r="AH51" s="15"/>
      <c r="AI51" s="15"/>
      <c r="AJ51" s="14"/>
      <c r="AK51" s="15"/>
      <c r="AL51" s="15"/>
      <c r="AM51" s="14"/>
      <c r="AN51" s="15"/>
      <c r="AO51" s="15"/>
      <c r="AP51" s="14"/>
      <c r="AQ51" s="15"/>
      <c r="AR51" s="15"/>
      <c r="AS51" s="14"/>
      <c r="AT51" s="15"/>
      <c r="AU51" s="15"/>
      <c r="AV51" s="14"/>
      <c r="AW51" s="15"/>
      <c r="AX51" s="15"/>
      <c r="AY51" s="14"/>
      <c r="AZ51" s="15"/>
      <c r="BA51" s="15"/>
      <c r="BB51" s="14"/>
      <c r="BC51" s="15"/>
      <c r="BD51" s="15"/>
      <c r="BE51" s="14"/>
      <c r="BF51" s="15"/>
      <c r="BG51" s="15"/>
      <c r="BH51" s="14"/>
      <c r="BI51" s="16"/>
      <c r="BJ51" s="15"/>
      <c r="BK51" s="14"/>
      <c r="BL51" s="15"/>
      <c r="BM51" s="15"/>
      <c r="BN51" s="14"/>
      <c r="BO51" s="15"/>
      <c r="BP51" s="15"/>
      <c r="BQ51" s="14"/>
      <c r="BR51" s="15"/>
      <c r="BS51" s="15"/>
      <c r="BT51" s="14"/>
      <c r="BU51" s="15"/>
      <c r="BV51" s="15"/>
      <c r="BW51" s="14"/>
      <c r="BX51" s="15"/>
      <c r="BY51" s="15"/>
      <c r="BZ51" s="14"/>
      <c r="CA51" s="15"/>
      <c r="CB51" s="15"/>
      <c r="CC51" s="14"/>
      <c r="CD51" s="15"/>
      <c r="CE51" s="15"/>
      <c r="CF51" s="2"/>
      <c r="CG51" s="2"/>
      <c r="CH51" s="2"/>
      <c r="CI51" s="2"/>
    </row>
    <row r="52" spans="1:87" ht="20.45" customHeight="1" x14ac:dyDescent="0.25">
      <c r="A52" s="26"/>
      <c r="B52" s="10" t="s">
        <v>59</v>
      </c>
      <c r="C52" s="7">
        <v>605999</v>
      </c>
      <c r="D52" s="7"/>
      <c r="E52" s="3"/>
      <c r="F52" s="2">
        <f t="shared" si="83"/>
        <v>0</v>
      </c>
      <c r="G52" s="13"/>
      <c r="H52" s="2">
        <f t="shared" si="84"/>
        <v>0</v>
      </c>
      <c r="I52" s="14"/>
      <c r="J52" s="15"/>
      <c r="K52" s="15"/>
      <c r="L52" s="14"/>
      <c r="M52" s="15"/>
      <c r="N52" s="15"/>
      <c r="O52" s="14"/>
      <c r="P52" s="15"/>
      <c r="Q52" s="15"/>
      <c r="R52" s="14"/>
      <c r="S52" s="15"/>
      <c r="T52" s="15"/>
      <c r="U52" s="14"/>
      <c r="V52" s="15"/>
      <c r="W52" s="15"/>
      <c r="X52" s="14"/>
      <c r="Y52" s="15"/>
      <c r="Z52" s="15"/>
      <c r="AA52" s="14"/>
      <c r="AB52" s="15"/>
      <c r="AC52" s="15"/>
      <c r="AD52" s="14"/>
      <c r="AE52" s="15"/>
      <c r="AF52" s="15"/>
      <c r="AG52" s="14"/>
      <c r="AH52" s="15"/>
      <c r="AI52" s="15"/>
      <c r="AJ52" s="14"/>
      <c r="AK52" s="15"/>
      <c r="AL52" s="15"/>
      <c r="AM52" s="14"/>
      <c r="AN52" s="15"/>
      <c r="AO52" s="15"/>
      <c r="AP52" s="14"/>
      <c r="AQ52" s="15"/>
      <c r="AR52" s="15"/>
      <c r="AS52" s="14"/>
      <c r="AT52" s="15"/>
      <c r="AU52" s="15"/>
      <c r="AV52" s="14"/>
      <c r="AW52" s="15"/>
      <c r="AX52" s="15"/>
      <c r="AY52" s="14"/>
      <c r="AZ52" s="15"/>
      <c r="BA52" s="15"/>
      <c r="BB52" s="14"/>
      <c r="BC52" s="15"/>
      <c r="BD52" s="15"/>
      <c r="BE52" s="14"/>
      <c r="BF52" s="15"/>
      <c r="BG52" s="15"/>
      <c r="BH52" s="14"/>
      <c r="BI52" s="16"/>
      <c r="BJ52" s="15"/>
      <c r="BK52" s="14"/>
      <c r="BL52" s="15"/>
      <c r="BM52" s="15"/>
      <c r="BN52" s="14"/>
      <c r="BO52" s="15"/>
      <c r="BP52" s="15"/>
      <c r="BQ52" s="14"/>
      <c r="BR52" s="15"/>
      <c r="BS52" s="15"/>
      <c r="BT52" s="14"/>
      <c r="BU52" s="15"/>
      <c r="BV52" s="15"/>
      <c r="BW52" s="14"/>
      <c r="BX52" s="15"/>
      <c r="BY52" s="15"/>
      <c r="BZ52" s="14"/>
      <c r="CA52" s="15"/>
      <c r="CB52" s="15"/>
      <c r="CC52" s="14"/>
      <c r="CD52" s="15"/>
      <c r="CE52" s="15"/>
      <c r="CF52" s="2"/>
      <c r="CG52" s="2"/>
      <c r="CH52" s="2"/>
      <c r="CI52" s="2"/>
    </row>
    <row r="53" spans="1:87" ht="18.600000000000001" customHeight="1" x14ac:dyDescent="0.25">
      <c r="A53" s="27"/>
      <c r="B53" s="10" t="s">
        <v>57</v>
      </c>
      <c r="C53" s="7">
        <v>606733</v>
      </c>
      <c r="D53" s="7"/>
      <c r="E53" s="3"/>
      <c r="F53" s="2">
        <f t="shared" si="83"/>
        <v>0</v>
      </c>
      <c r="G53" s="13"/>
      <c r="H53" s="2">
        <f t="shared" si="84"/>
        <v>0</v>
      </c>
      <c r="I53" s="14"/>
      <c r="J53" s="15"/>
      <c r="K53" s="15"/>
      <c r="L53" s="14"/>
      <c r="M53" s="15"/>
      <c r="N53" s="15"/>
      <c r="O53" s="14"/>
      <c r="P53" s="15"/>
      <c r="Q53" s="15"/>
      <c r="R53" s="14"/>
      <c r="S53" s="15"/>
      <c r="T53" s="15"/>
      <c r="U53" s="14"/>
      <c r="V53" s="15"/>
      <c r="W53" s="15"/>
      <c r="X53" s="14"/>
      <c r="Y53" s="15"/>
      <c r="Z53" s="15"/>
      <c r="AA53" s="14"/>
      <c r="AB53" s="15"/>
      <c r="AC53" s="15"/>
      <c r="AD53" s="14"/>
      <c r="AE53" s="15"/>
      <c r="AF53" s="15"/>
      <c r="AG53" s="14"/>
      <c r="AH53" s="15"/>
      <c r="AI53" s="15"/>
      <c r="AJ53" s="14"/>
      <c r="AK53" s="15"/>
      <c r="AL53" s="15"/>
      <c r="AM53" s="14"/>
      <c r="AN53" s="15"/>
      <c r="AO53" s="15"/>
      <c r="AP53" s="14"/>
      <c r="AQ53" s="15"/>
      <c r="AR53" s="15"/>
      <c r="AS53" s="14"/>
      <c r="AT53" s="15"/>
      <c r="AU53" s="15"/>
      <c r="AV53" s="14"/>
      <c r="AW53" s="15"/>
      <c r="AX53" s="15"/>
      <c r="AY53" s="14"/>
      <c r="AZ53" s="15"/>
      <c r="BA53" s="15"/>
      <c r="BB53" s="14"/>
      <c r="BC53" s="15"/>
      <c r="BD53" s="15"/>
      <c r="BE53" s="14"/>
      <c r="BF53" s="15"/>
      <c r="BG53" s="15"/>
      <c r="BH53" s="14"/>
      <c r="BI53" s="16"/>
      <c r="BJ53" s="15"/>
      <c r="BK53" s="14"/>
      <c r="BL53" s="15"/>
      <c r="BM53" s="15"/>
      <c r="BN53" s="14"/>
      <c r="BO53" s="15"/>
      <c r="BP53" s="15"/>
      <c r="BQ53" s="14"/>
      <c r="BR53" s="15"/>
      <c r="BS53" s="15"/>
      <c r="BT53" s="14"/>
      <c r="BU53" s="15"/>
      <c r="BV53" s="15"/>
      <c r="BW53" s="14"/>
      <c r="BX53" s="15"/>
      <c r="BY53" s="15"/>
      <c r="BZ53" s="14"/>
      <c r="CA53" s="15"/>
      <c r="CB53" s="15"/>
      <c r="CC53" s="14"/>
      <c r="CD53" s="15"/>
      <c r="CE53" s="15"/>
      <c r="CF53" s="2"/>
      <c r="CG53" s="2"/>
      <c r="CH53" s="2"/>
      <c r="CI53" s="2"/>
    </row>
    <row r="54" spans="1:87" x14ac:dyDescent="0.25">
      <c r="F54" s="2"/>
    </row>
  </sheetData>
  <autoFilter ref="H1:H54" xr:uid="{00000000-0001-0000-0000-000000000000}"/>
  <mergeCells count="53">
    <mergeCell ref="CC3:CE3"/>
    <mergeCell ref="BK3:BM3"/>
    <mergeCell ref="BN3:BP3"/>
    <mergeCell ref="BQ3:BS3"/>
    <mergeCell ref="BT3:BV3"/>
    <mergeCell ref="BW3:BY3"/>
    <mergeCell ref="BZ3:CB3"/>
    <mergeCell ref="BH3:BJ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X3:Z3"/>
    <mergeCell ref="X47:Z47"/>
    <mergeCell ref="I47:K47"/>
    <mergeCell ref="L47:N47"/>
    <mergeCell ref="O47:Q47"/>
    <mergeCell ref="R47:T47"/>
    <mergeCell ref="U47:W47"/>
    <mergeCell ref="I3:K3"/>
    <mergeCell ref="L3:N3"/>
    <mergeCell ref="O3:Q3"/>
    <mergeCell ref="R3:T3"/>
    <mergeCell ref="U3:W3"/>
    <mergeCell ref="CC47:CE47"/>
    <mergeCell ref="BE47:BG47"/>
    <mergeCell ref="BH47:BJ47"/>
    <mergeCell ref="BK47:BM47"/>
    <mergeCell ref="BN47:BP47"/>
    <mergeCell ref="BQ47:BS47"/>
    <mergeCell ref="BZ47:CB47"/>
    <mergeCell ref="A24:A25"/>
    <mergeCell ref="A41:A44"/>
    <mergeCell ref="A48:A53"/>
    <mergeCell ref="BT47:BV47"/>
    <mergeCell ref="BW47:BY47"/>
    <mergeCell ref="AA47:AC47"/>
    <mergeCell ref="AD47:AF47"/>
    <mergeCell ref="AG47:AI47"/>
    <mergeCell ref="AJ47:AL47"/>
    <mergeCell ref="AM47:AO47"/>
    <mergeCell ref="AP47:AR47"/>
    <mergeCell ref="AS47:AU47"/>
    <mergeCell ref="AV47:AX47"/>
    <mergeCell ref="AY47:BA47"/>
    <mergeCell ref="BB47:BD47"/>
  </mergeCells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Tyagi</dc:creator>
  <cp:lastModifiedBy>Birendra Singh</cp:lastModifiedBy>
  <cp:lastPrinted>2026-06-24T06:20:52Z</cp:lastPrinted>
  <dcterms:created xsi:type="dcterms:W3CDTF">2015-06-05T18:17:20Z</dcterms:created>
  <dcterms:modified xsi:type="dcterms:W3CDTF">2026-06-25T04:06:50Z</dcterms:modified>
</cp:coreProperties>
</file>